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5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6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Ex7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Ex8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Ex9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Ex10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charts/chartEx11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charts/chartEx12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harts/chartEx13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Ex14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Ex15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Ex16.xml" ContentType="application/vnd.ms-office.chartex+xml"/>
  <Override PartName="/xl/charts/style16.xml" ContentType="application/vnd.ms-office.chartstyle+xml"/>
  <Override PartName="/xl/charts/colors16.xml" ContentType="application/vnd.ms-office.chartcolorsty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charts/chartEx17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7.xml" ContentType="application/vnd.openxmlformats-officedocument.drawing+xml"/>
  <Override PartName="/xl/tables/table11.xml" ContentType="application/vnd.openxmlformats-officedocument.spreadsheetml.table+xml"/>
  <Override PartName="/xl/charts/chartEx18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8.xml" ContentType="application/vnd.openxmlformats-officedocument.drawing+xml"/>
  <Override PartName="/xl/tables/table15.xml" ContentType="application/vnd.openxmlformats-officedocument.spreadsheetml.table+xml"/>
  <Override PartName="/xl/charts/chartEx19.xml" ContentType="application/vnd.ms-office.chartex+xml"/>
  <Override PartName="/xl/charts/style19.xml" ContentType="application/vnd.ms-office.chartstyle+xml"/>
  <Override PartName="/xl/charts/colors19.xml" ContentType="application/vnd.ms-office.chartcolorstyle+xml"/>
  <Override PartName="/xl/drawings/drawing9.xml" ContentType="application/vnd.openxmlformats-officedocument.drawing+xml"/>
  <Override PartName="/xl/tables/table16.xml" ContentType="application/vnd.openxmlformats-officedocument.spreadsheetml.table+xml"/>
  <Override PartName="/xl/charts/chartEx20.xml" ContentType="application/vnd.ms-office.chartex+xml"/>
  <Override PartName="/xl/charts/style20.xml" ContentType="application/vnd.ms-office.chartstyle+xml"/>
  <Override PartName="/xl/charts/colors20.xml" ContentType="application/vnd.ms-office.chartcolorstyle+xml"/>
  <Override PartName="/xl/tables/table17.xml" ContentType="application/vnd.openxmlformats-officedocument.spreadsheetml.table+xml"/>
  <Override PartName="/xl/drawings/drawing10.xml" ContentType="application/vnd.openxmlformats-officedocument.drawing+xml"/>
  <Override PartName="/xl/tables/table18.xml" ContentType="application/vnd.openxmlformats-officedocument.spreadsheetml.table+xml"/>
  <Override PartName="/xl/charts/chartEx21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982C1C8B-4B4F-4422-92F6-21ADA373F331}" xr6:coauthVersionLast="47" xr6:coauthVersionMax="47" xr10:uidLastSave="{00000000-0000-0000-0000-000000000000}"/>
  <bookViews>
    <workbookView xWindow="-120" yWindow="-120" windowWidth="20730" windowHeight="11160" firstSheet="13" activeTab="13" xr2:uid="{C5FD9874-E068-471E-9732-E356AB15C1AD}"/>
  </bookViews>
  <sheets>
    <sheet name="msme" sheetId="32" r:id="rId1"/>
    <sheet name="msme state" sheetId="1" r:id="rId2"/>
    <sheet name="outlier" sheetId="30" r:id="rId3"/>
    <sheet name="msme sector" sheetId="27" r:id="rId4"/>
    <sheet name="employee state" sheetId="3" r:id="rId5"/>
    <sheet name="employment sector" sheetId="4" r:id="rId6"/>
    <sheet name="employee qualification" sheetId="5" r:id="rId7"/>
    <sheet name="experience" sheetId="6" r:id="rId8"/>
    <sheet name="skill gap" sheetId="7" r:id="rId9"/>
    <sheet name="promomotion" sheetId="8" r:id="rId10"/>
    <sheet name="market channel" sheetId="9" r:id="rId11"/>
    <sheet name="e commerce" sheetId="10" r:id="rId12"/>
    <sheet name="average customers" sheetId="12" r:id="rId13"/>
    <sheet name="performance" sheetId="14" r:id="rId14"/>
    <sheet name="major challenges" sheetId="15" r:id="rId15"/>
    <sheet name="smedan aware" sheetId="16" r:id="rId16"/>
    <sheet name="smedan aware state" sheetId="22" r:id="rId17"/>
    <sheet name="monthly sales" sheetId="19" r:id="rId18"/>
    <sheet name="sales sector" sheetId="25" r:id="rId19"/>
    <sheet name="owner qualifications" sheetId="20" r:id="rId20"/>
    <sheet name="ownership" sheetId="23" r:id="rId21"/>
  </sheets>
  <definedNames>
    <definedName name="_xlchart.v1.0" hidden="1">'msme state'!$F$2</definedName>
    <definedName name="_xlchart.v1.1" hidden="1">'msme state'!$F$3:$F$39</definedName>
    <definedName name="_xlchart.v1.10" hidden="1">'msme state'!$O$3:$O$42</definedName>
    <definedName name="_xlchart.v1.11" hidden="1">'msme state'!$P$3:$P$42</definedName>
    <definedName name="_xlchart.v1.12" hidden="1">'msme state'!$G$2</definedName>
    <definedName name="_xlchart.v1.13" hidden="1">'msme state'!$G$3:$G$39</definedName>
    <definedName name="_xlchart.v1.14" hidden="1">'msme state'!$K$2</definedName>
    <definedName name="_xlchart.v1.15" hidden="1">'msme state'!$K$3:$K$39</definedName>
    <definedName name="_xlchart.v1.16" hidden="1">'msme state'!$I$2</definedName>
    <definedName name="_xlchart.v1.17" hidden="1">'msme state'!$I$3:$I$39</definedName>
    <definedName name="_xlchart.v1.18" hidden="1">'msme state'!$M$2</definedName>
    <definedName name="_xlchart.v1.19" hidden="1">'msme state'!$M$3:$M$39</definedName>
    <definedName name="_xlchart.v1.2" hidden="1">'msme state'!$L$2</definedName>
    <definedName name="_xlchart.v1.20" hidden="1">'msme state'!$J$2</definedName>
    <definedName name="_xlchart.v1.21" hidden="1">'msme state'!$J$3:$J$39</definedName>
    <definedName name="_xlchart.v1.22" hidden="1">'msme state'!$N$2</definedName>
    <definedName name="_xlchart.v1.23" hidden="1">'msme state'!$N$3:$N$39</definedName>
    <definedName name="_xlchart.v1.24" hidden="1">'msme sector'!$D$2</definedName>
    <definedName name="_xlchart.v1.25" hidden="1">'msme sector'!$D$3:$D$21</definedName>
    <definedName name="_xlchart.v1.26" hidden="1">'msme sector'!$E$2</definedName>
    <definedName name="_xlchart.v1.27" hidden="1">'msme sector'!$E$3:$E$21</definedName>
    <definedName name="_xlchart.v1.28" hidden="1">'msme sector'!$F$2</definedName>
    <definedName name="_xlchart.v1.29" hidden="1">'msme sector'!$F$3:$F$21</definedName>
    <definedName name="_xlchart.v1.3" hidden="1">'msme state'!$L$3:$L$39</definedName>
    <definedName name="_xlchart.v1.30" hidden="1">'msme sector'!$G$2</definedName>
    <definedName name="_xlchart.v1.31" hidden="1">'msme sector'!$G$3:$G$21</definedName>
    <definedName name="_xlchart.v1.32" hidden="1">'employee state'!$G$2</definedName>
    <definedName name="_xlchart.v1.33" hidden="1">'employee state'!$G$3:$G$39</definedName>
    <definedName name="_xlchart.v1.34" hidden="1">'employee state'!$H$2</definedName>
    <definedName name="_xlchart.v1.35" hidden="1">'employee state'!$H$3:$H$39</definedName>
    <definedName name="_xlchart.v1.36" hidden="1">'employee state'!$I$2</definedName>
    <definedName name="_xlchart.v1.37" hidden="1">'employee state'!$I$3:$I$39</definedName>
    <definedName name="_xlchart.v1.38" hidden="1">'employee state'!$J$2</definedName>
    <definedName name="_xlchart.v1.39" hidden="1">'employee state'!$J$3:$J$39</definedName>
    <definedName name="_xlchart.v1.4" hidden="1">'msme state'!$H$2</definedName>
    <definedName name="_xlchart.v1.40" hidden="1">'employee state'!$K$2</definedName>
    <definedName name="_xlchart.v1.41" hidden="1">'employee state'!$K$3:$K$39</definedName>
    <definedName name="_xlchart.v1.42" hidden="1">'employee state'!$L$2</definedName>
    <definedName name="_xlchart.v1.43" hidden="1">'employee state'!$L$3:$L$39</definedName>
    <definedName name="_xlchart.v1.44" hidden="1">'employee state'!$M$2</definedName>
    <definedName name="_xlchart.v1.45" hidden="1">'employee state'!$M$3:$M$39</definedName>
    <definedName name="_xlchart.v1.46" hidden="1">'employee state'!$N$2</definedName>
    <definedName name="_xlchart.v1.47" hidden="1">'employee state'!$N$3:$N$39</definedName>
    <definedName name="_xlchart.v1.48" hidden="1">'employee state'!$O$2</definedName>
    <definedName name="_xlchart.v1.49" hidden="1">'employee state'!$O$3:$O$39</definedName>
    <definedName name="_xlchart.v1.5" hidden="1">'msme state'!$H$3:$H$37</definedName>
    <definedName name="_xlchart.v1.50" hidden="1">'employee state'!$P$2</definedName>
    <definedName name="_xlchart.v1.51" hidden="1">'employee state'!$P$3:$P$39</definedName>
    <definedName name="_xlchart.v1.52" hidden="1">'employment sector'!$D$2</definedName>
    <definedName name="_xlchart.v1.53" hidden="1">'employment sector'!$D$3:$D$18</definedName>
    <definedName name="_xlchart.v1.54" hidden="1">'employment sector'!$E$2</definedName>
    <definedName name="_xlchart.v1.55" hidden="1">'employment sector'!$E$3:$E$18</definedName>
    <definedName name="_xlchart.v1.56" hidden="1">'employment sector'!$F$2</definedName>
    <definedName name="_xlchart.v1.57" hidden="1">'employment sector'!$F$3:$F$18</definedName>
    <definedName name="_xlchart.v1.58" hidden="1">'employment sector'!$G$2</definedName>
    <definedName name="_xlchart.v1.59" hidden="1">'employment sector'!$G$3:$G$18</definedName>
    <definedName name="_xlchart.v1.6" hidden="1">'msme state'!$O$13:$O$39</definedName>
    <definedName name="_xlchart.v1.60" hidden="1">'employment sector'!$H$2</definedName>
    <definedName name="_xlchart.v1.61" hidden="1">'employment sector'!$H$3:$H$18</definedName>
    <definedName name="_xlchart.v1.62" hidden="1">'employment sector'!$I$2</definedName>
    <definedName name="_xlchart.v1.63" hidden="1">'employment sector'!$I$3:$I$18</definedName>
    <definedName name="_xlchart.v1.64" hidden="1">'employment sector'!$J$2</definedName>
    <definedName name="_xlchart.v1.65" hidden="1">'employment sector'!$J$3:$J$18</definedName>
    <definedName name="_xlchart.v1.66" hidden="1">'employment sector'!$K$2</definedName>
    <definedName name="_xlchart.v1.67" hidden="1">'employment sector'!$K$3:$K$18</definedName>
    <definedName name="_xlchart.v1.68" hidden="1">'employee qualification'!$D$2</definedName>
    <definedName name="_xlchart.v1.69" hidden="1">'employee qualification'!$D$3:$D$22</definedName>
    <definedName name="_xlchart.v1.7" hidden="1">'msme state'!$O$2:$O$12</definedName>
    <definedName name="_xlchart.v1.70" hidden="1">'employee qualification'!$E$2</definedName>
    <definedName name="_xlchart.v1.71" hidden="1">'employee qualification'!$E$3:$E$22</definedName>
    <definedName name="_xlchart.v1.72" hidden="1">'skill gap'!$C$2</definedName>
    <definedName name="_xlchart.v1.73" hidden="1">'skill gap'!$C$3:$C$19</definedName>
    <definedName name="_xlchart.v1.74" hidden="1">'skill gap'!$D$2</definedName>
    <definedName name="_xlchart.v1.75" hidden="1">'skill gap'!$D$3:$D$19</definedName>
    <definedName name="_xlchart.v1.76" hidden="1">'skill gap'!$E$2</definedName>
    <definedName name="_xlchart.v1.77" hidden="1">'skill gap'!$E$3:$E$19</definedName>
    <definedName name="_xlchart.v1.78" hidden="1">'skill gap'!$F$2</definedName>
    <definedName name="_xlchart.v1.79" hidden="1">'skill gap'!$F$3:$F$19</definedName>
    <definedName name="_xlchart.v1.8" hidden="1">'msme state'!$P$2</definedName>
    <definedName name="_xlchart.v1.80" hidden="1">'e commerce'!$C$2</definedName>
    <definedName name="_xlchart.v1.81" hidden="1">'e commerce'!$C$3:$C$18</definedName>
    <definedName name="_xlchart.v1.82" hidden="1">'smedan aware'!$D$2</definedName>
    <definedName name="_xlchart.v1.83" hidden="1">'smedan aware'!$D$3:$D$8</definedName>
    <definedName name="_xlchart.v1.84" hidden="1">'smedan aware'!$E$2</definedName>
    <definedName name="_xlchart.v1.85" hidden="1">'smedan aware'!$E$3:$E$8</definedName>
    <definedName name="_xlchart.v1.86" hidden="1">'smedan aware'!$F$2</definedName>
    <definedName name="_xlchart.v1.87" hidden="1">'smedan aware'!$F$3:$F$8</definedName>
    <definedName name="_xlchart.v1.88" hidden="1">'smedan aware state'!$F$2</definedName>
    <definedName name="_xlchart.v1.89" hidden="1">'smedan aware state'!$F$3:$F$39</definedName>
    <definedName name="_xlchart.v1.9" hidden="1">'msme state'!$P$3:$P$39</definedName>
    <definedName name="_xlchart.v1.90" hidden="1">'sales sector'!$C$2</definedName>
    <definedName name="_xlchart.v1.91" hidden="1">'sales sector'!$C$3:$C$18</definedName>
    <definedName name="_xlchart.v1.92" hidden="1">'sales sector'!$D$2</definedName>
    <definedName name="_xlchart.v1.93" hidden="1">'sales sector'!$D$3:$D$18</definedName>
    <definedName name="_xlchart.v1.94" hidden="1">'sales sector'!$E$2</definedName>
    <definedName name="_xlchart.v1.95" hidden="1">'sales sector'!$E$3:$E$18</definedName>
    <definedName name="_xlchart.v1.96" hidden="1">'sales sector'!$F$2</definedName>
    <definedName name="_xlchart.v1.97" hidden="1">'sales sector'!$F$3:$F$18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0" l="1"/>
  <c r="C12" i="8"/>
  <c r="T7" i="1"/>
  <c r="T6" i="1"/>
</calcChain>
</file>

<file path=xl/sharedStrings.xml><?xml version="1.0" encoding="utf-8"?>
<sst xmlns="http://schemas.openxmlformats.org/spreadsheetml/2006/main" count="930" uniqueCount="268">
  <si>
    <t>Total</t>
  </si>
  <si>
    <t>FCT</t>
  </si>
  <si>
    <t>Male</t>
  </si>
  <si>
    <t>Female</t>
  </si>
  <si>
    <t>Male(2017)</t>
  </si>
  <si>
    <t>Female(2017)</t>
  </si>
  <si>
    <t>Male(2013)</t>
  </si>
  <si>
    <t>Female(2013)</t>
  </si>
  <si>
    <t>TABLE 12: EMPLOYMENT BY SECTOR AS AT DECEMBER 2020</t>
  </si>
  <si>
    <t/>
  </si>
  <si>
    <t>No Education</t>
  </si>
  <si>
    <t>Below Primary</t>
  </si>
  <si>
    <t>Primary</t>
  </si>
  <si>
    <t>JSS</t>
  </si>
  <si>
    <t>SSS</t>
  </si>
  <si>
    <t>Doctorate</t>
  </si>
  <si>
    <t>TABLE 14: AVERAGE YEARS OF APPRENTICESHIP</t>
  </si>
  <si>
    <t>TABLE 15:     SKILLS GAP BY SECTOR</t>
  </si>
  <si>
    <t>TABLE 19 PROMOTIONAL CHANNELS BY ENTERPRISE</t>
  </si>
  <si>
    <t>TABLE 35.  MARKET CHANNEL OF PRODUCT(S)</t>
  </si>
  <si>
    <t>TABLE 36. E-COMMENCE BY SECTOR/ Enterprises Operating Online Businesses by Sector</t>
  </si>
  <si>
    <t>TABLE 37: AVERAGE CUSTOMER PER DAY</t>
  </si>
  <si>
    <t>10 - 20</t>
  </si>
  <si>
    <t>21 - 30</t>
  </si>
  <si>
    <t>31 - 40</t>
  </si>
  <si>
    <t>TABLE 54: MAJOR CHALLENGES MILITATING AGAINST ENTERPRISES DEVELOPMENT IN NIGERIA</t>
  </si>
  <si>
    <t>TABLE 45: SOURCE OF INFORMATION ABOUT SMEDAN</t>
  </si>
  <si>
    <t>TABLE 76B: EMPLOYEE QUALIFICATION BY GENDER</t>
  </si>
  <si>
    <t>NCE/OND/Nursing</t>
  </si>
  <si>
    <t>M.Sc./M.A/M.Admin</t>
  </si>
  <si>
    <t>TABLE 103: AVERAGE MONTHLY SALES/TURNOVER</t>
  </si>
  <si>
    <t>Below 50</t>
  </si>
  <si>
    <t>50 -100</t>
  </si>
  <si>
    <t>101 - 200</t>
  </si>
  <si>
    <t>201 - 300</t>
  </si>
  <si>
    <t>401 - 500</t>
  </si>
  <si>
    <t>501 - 600</t>
  </si>
  <si>
    <t>601 -700</t>
  </si>
  <si>
    <t>701 - 800</t>
  </si>
  <si>
    <t>801 - 900</t>
  </si>
  <si>
    <t>901 - 1000</t>
  </si>
  <si>
    <t>Above 1000</t>
  </si>
  <si>
    <t>Medium(2017)</t>
  </si>
  <si>
    <t>Medium(2010)</t>
  </si>
  <si>
    <t>TABLE 70: EDUCATIONAL QUALIFICATIONS OF OWNERS (SOLE PROPIETORSHIP) 2017</t>
  </si>
  <si>
    <t>B. Sc./ B. Art / HND</t>
  </si>
  <si>
    <t>M.Sc. / M. Art/ M. Amin</t>
  </si>
  <si>
    <t>Others</t>
  </si>
  <si>
    <t>SME 2020</t>
  </si>
  <si>
    <t>Table 33 Average Monthly Sales Turnover by Economic Sector</t>
  </si>
  <si>
    <t>Agriculture</t>
  </si>
  <si>
    <t>Mining &amp; quarrying</t>
  </si>
  <si>
    <t>Manufacturing</t>
  </si>
  <si>
    <t>Construction</t>
  </si>
  <si>
    <t>Wholesale / retail trade</t>
  </si>
  <si>
    <t>Transport &amp; storage</t>
  </si>
  <si>
    <t>Accommodation &amp; food services</t>
  </si>
  <si>
    <t>Information and communication</t>
  </si>
  <si>
    <t>Real estate activities</t>
  </si>
  <si>
    <t>Administrative and support service activities</t>
  </si>
  <si>
    <t>Education</t>
  </si>
  <si>
    <t>Human health &amp; social works</t>
  </si>
  <si>
    <t>Others services activities</t>
  </si>
  <si>
    <t>SME</t>
  </si>
  <si>
    <t>Electricity, Gas, Steam and Air Conditioning</t>
  </si>
  <si>
    <t>Financial and Insurance</t>
  </si>
  <si>
    <t>Public administration</t>
  </si>
  <si>
    <t>Table 5: economic sector by ownership, gender 2017 and sex 2013</t>
  </si>
  <si>
    <t>TABLE 11: TOTAL EMPLOYMENT BY STATE AS AT DECEMBER 2020</t>
  </si>
  <si>
    <r>
      <t xml:space="preserve">TABLE </t>
    </r>
    <r>
      <rPr>
        <sz val="11"/>
        <color rgb="FF0E0E0E"/>
        <rFont val="Calibri"/>
        <family val="2"/>
        <scheme val="minor"/>
      </rPr>
      <t xml:space="preserve">40:    </t>
    </r>
    <r>
      <rPr>
        <sz val="11"/>
        <color theme="1"/>
        <rFont val="Calibri"/>
        <family val="2"/>
        <scheme val="minor"/>
      </rPr>
      <t>COMPARISM  OF PERFORMANCE</t>
    </r>
  </si>
  <si>
    <t>Micro(2013)</t>
  </si>
  <si>
    <t>Sector</t>
  </si>
  <si>
    <t>Micro(2017)</t>
  </si>
  <si>
    <t>Mean</t>
  </si>
  <si>
    <t>Small(2017)</t>
  </si>
  <si>
    <t>Mining &amp; Quarrying</t>
  </si>
  <si>
    <t>Transport &amp; Storage</t>
  </si>
  <si>
    <t>Information And Communication</t>
  </si>
  <si>
    <t>Arts, Entertainment And Recreation</t>
  </si>
  <si>
    <t>Male(2010)</t>
  </si>
  <si>
    <t>Female(2010)</t>
  </si>
  <si>
    <t>State</t>
  </si>
  <si>
    <t>Male (2020)</t>
  </si>
  <si>
    <t>Female(2020)</t>
  </si>
  <si>
    <t>Male(Micro)</t>
  </si>
  <si>
    <t>Female(Micro)</t>
  </si>
  <si>
    <t>Abia</t>
  </si>
  <si>
    <t>Adamawa</t>
  </si>
  <si>
    <t>Akwa - Ibom</t>
  </si>
  <si>
    <t>Anambra</t>
  </si>
  <si>
    <t>Bauchi</t>
  </si>
  <si>
    <t>Bayelsa</t>
  </si>
  <si>
    <t>Benue</t>
  </si>
  <si>
    <t>Borno</t>
  </si>
  <si>
    <t>Cross River</t>
  </si>
  <si>
    <t>Delta</t>
  </si>
  <si>
    <t>Ebonyi</t>
  </si>
  <si>
    <t>Edo</t>
  </si>
  <si>
    <t>Ekiti</t>
  </si>
  <si>
    <t>Enugu</t>
  </si>
  <si>
    <t>Gombe</t>
  </si>
  <si>
    <t>Imo</t>
  </si>
  <si>
    <t>Jigawa</t>
  </si>
  <si>
    <t>Kaduna</t>
  </si>
  <si>
    <t>Kano</t>
  </si>
  <si>
    <t>Katsina</t>
  </si>
  <si>
    <t>Kebbi</t>
  </si>
  <si>
    <t>Kogi</t>
  </si>
  <si>
    <t>Kwara</t>
  </si>
  <si>
    <t>Lagos</t>
  </si>
  <si>
    <t>Nasarawa</t>
  </si>
  <si>
    <t>Niger</t>
  </si>
  <si>
    <t>Ogun</t>
  </si>
  <si>
    <t>Ondo</t>
  </si>
  <si>
    <t>Osun</t>
  </si>
  <si>
    <t>Oyo</t>
  </si>
  <si>
    <t>Plateau</t>
  </si>
  <si>
    <t>River</t>
  </si>
  <si>
    <t>Sokoto</t>
  </si>
  <si>
    <t>Taraba</t>
  </si>
  <si>
    <t>Yobe</t>
  </si>
  <si>
    <t>Zamfara</t>
  </si>
  <si>
    <t>Small(2020)</t>
  </si>
  <si>
    <t>Small(2013)</t>
  </si>
  <si>
    <t>Small(2010)</t>
  </si>
  <si>
    <t>Medium(2013)</t>
  </si>
  <si>
    <t>Micro(2020)</t>
  </si>
  <si>
    <t>Medium(2020)</t>
  </si>
  <si>
    <t>Male(2020)</t>
  </si>
  <si>
    <t>Wholesale/ Retail Trade</t>
  </si>
  <si>
    <t>Administrative And Support Service Activities</t>
  </si>
  <si>
    <t>Others Services Activities</t>
  </si>
  <si>
    <t>Real Estate Activities</t>
  </si>
  <si>
    <t>Human Health &amp; Social Works</t>
  </si>
  <si>
    <t>Professional, Scientific And Technical Works</t>
  </si>
  <si>
    <t>1 Year</t>
  </si>
  <si>
    <t>2 Years</t>
  </si>
  <si>
    <t>3 Years</t>
  </si>
  <si>
    <t>4 Years</t>
  </si>
  <si>
    <t>6 Above</t>
  </si>
  <si>
    <t>Qualified Artisans Readily Available (Micro)</t>
  </si>
  <si>
    <t>Qualified Artisans Not Readily Available(Micro)</t>
  </si>
  <si>
    <t>Human  Health  &amp;  Social Works</t>
  </si>
  <si>
    <t>Television</t>
  </si>
  <si>
    <t>Person - To - Person</t>
  </si>
  <si>
    <t>Billboard</t>
  </si>
  <si>
    <t>E - Adverts</t>
  </si>
  <si>
    <t>Same Locality</t>
  </si>
  <si>
    <t>Same Town</t>
  </si>
  <si>
    <t>Same State</t>
  </si>
  <si>
    <t>Nigeria Only</t>
  </si>
  <si>
    <t>Worldwide</t>
  </si>
  <si>
    <t>Wholesale / Retail Trade</t>
  </si>
  <si>
    <t>Administrative And Support Service
Activities</t>
  </si>
  <si>
    <t>Below 10</t>
  </si>
  <si>
    <t>Above 50</t>
  </si>
  <si>
    <t>No Response</t>
  </si>
  <si>
    <t>Better</t>
  </si>
  <si>
    <t>Worse</t>
  </si>
  <si>
    <t>Same</t>
  </si>
  <si>
    <t>Lack Of Access To Finance</t>
  </si>
  <si>
    <t>Lack Of Work Space</t>
  </si>
  <si>
    <t>Weak Infrastructure</t>
  </si>
  <si>
    <t>Lack Of Access To Research And Development</t>
  </si>
  <si>
    <t>Inconsistent Policy</t>
  </si>
  <si>
    <t>Radio</t>
  </si>
  <si>
    <t>Newspaper</t>
  </si>
  <si>
    <t>Others Specify</t>
  </si>
  <si>
    <t>Rivers</t>
  </si>
  <si>
    <t>SME 2017</t>
  </si>
  <si>
    <t>Accommodation &amp; Food Services</t>
  </si>
  <si>
    <t>Administrative And Support Activities</t>
  </si>
  <si>
    <t>Water Supply, Sewerage, Waste Management And Remediation Act</t>
  </si>
  <si>
    <t>SME 2013</t>
  </si>
  <si>
    <t>Mining And Quarrying</t>
  </si>
  <si>
    <t>Other Services &amp; Activities</t>
  </si>
  <si>
    <t>Median</t>
  </si>
  <si>
    <t>winsorisation mean</t>
  </si>
  <si>
    <t>winsorisaton</t>
  </si>
  <si>
    <t>4th percentile</t>
  </si>
  <si>
    <t>95th percentile</t>
  </si>
  <si>
    <t>calculate percentile for micro 2013</t>
  </si>
  <si>
    <t>mean</t>
  </si>
  <si>
    <t>Employment by Sector</t>
  </si>
  <si>
    <t>Gender</t>
  </si>
  <si>
    <t>Enterprises(2017)</t>
  </si>
  <si>
    <t>Enterprises(2020)</t>
  </si>
  <si>
    <t>SME (2020)</t>
  </si>
  <si>
    <t>Promotional Channels by Enterprise</t>
  </si>
  <si>
    <t>Product Market Channel</t>
  </si>
  <si>
    <t>E-Commerce by Sector</t>
  </si>
  <si>
    <t>301 - 400</t>
  </si>
  <si>
    <t>Average Monthly Sales</t>
  </si>
  <si>
    <t>Educational Qualifications of Owners</t>
  </si>
  <si>
    <t>Number of Owners</t>
  </si>
  <si>
    <t>Mcroenterprise(2017)</t>
  </si>
  <si>
    <t>Microenterprise(2020)</t>
  </si>
  <si>
    <t>SME(2020)</t>
  </si>
  <si>
    <t>Microenterprise(2017)</t>
  </si>
  <si>
    <t>Challenges</t>
  </si>
  <si>
    <t>Sector by Ownership, Gender</t>
  </si>
  <si>
    <t>Average Monthly Sales by Sector</t>
  </si>
  <si>
    <t>Microenterprise 2012</t>
  </si>
  <si>
    <t>Microenterprise 2013</t>
  </si>
  <si>
    <t>Severity</t>
  </si>
  <si>
    <t>Enterprises  (2018 &amp; 2019)</t>
  </si>
  <si>
    <t>Enterprises (2016, &amp; 2017)</t>
  </si>
  <si>
    <t>Enterprises (2015 &amp; 2016)</t>
  </si>
  <si>
    <t>Enterprises (2019 &amp; 2020)</t>
  </si>
  <si>
    <t>Don't Know</t>
  </si>
  <si>
    <t>Customers</t>
  </si>
  <si>
    <t>Enterprises (2017)</t>
  </si>
  <si>
    <t>Enterprises (2020)</t>
  </si>
  <si>
    <t>Overall Number Of Enterprises</t>
  </si>
  <si>
    <t>Microenterprise</t>
  </si>
  <si>
    <t>SME (2017)</t>
  </si>
  <si>
    <t>Qualified Artisans Not Readily Available (SME)</t>
  </si>
  <si>
    <t>Qualified Artisans Readily Available (SME)</t>
  </si>
  <si>
    <t>TABLE 67: NUMBER OF MICRO ENTERPRISES BY SECTOR (FORMAL)</t>
  </si>
  <si>
    <t>msme_id</t>
  </si>
  <si>
    <t>Country</t>
  </si>
  <si>
    <t>Nigeria</t>
  </si>
  <si>
    <t>Zip Code</t>
  </si>
  <si>
    <t>Region</t>
  </si>
  <si>
    <t>North East</t>
  </si>
  <si>
    <t>North West</t>
  </si>
  <si>
    <t>South East</t>
  </si>
  <si>
    <t>South</t>
  </si>
  <si>
    <t>South West</t>
  </si>
  <si>
    <t>North Central</t>
  </si>
  <si>
    <t>msme_sector_id</t>
  </si>
  <si>
    <t>market_channel_id</t>
  </si>
  <si>
    <t>promotion_id</t>
  </si>
  <si>
    <t>performance_id</t>
  </si>
  <si>
    <t>average_customers_id</t>
  </si>
  <si>
    <t>major_challenges_id</t>
  </si>
  <si>
    <t>ownership_id</t>
  </si>
  <si>
    <t>msme_state_id</t>
  </si>
  <si>
    <t>employment_sector_id</t>
  </si>
  <si>
    <t>employee_state_id</t>
  </si>
  <si>
    <t>employee_qualification_id</t>
  </si>
  <si>
    <t>smedan_aware_id</t>
  </si>
  <si>
    <t>skillgap_id</t>
  </si>
  <si>
    <t>experience_id</t>
  </si>
  <si>
    <t>e_commerce_id</t>
  </si>
  <si>
    <t>ownership_qualification_id</t>
  </si>
  <si>
    <t>sales_sector_id</t>
  </si>
  <si>
    <t>monthly_sales_id</t>
  </si>
  <si>
    <t>Aware(Micro)</t>
  </si>
  <si>
    <t>median</t>
  </si>
  <si>
    <t>Micro Enterprises’ Awareness of SMEDAN by State</t>
  </si>
  <si>
    <t>smedan_aware_state_id</t>
  </si>
  <si>
    <t>FORMAL ENTERPRISES BY CATEGORIES AND STATE</t>
  </si>
  <si>
    <t>Vocational/ Commercial</t>
  </si>
  <si>
    <t>B.A/B.Sc./B.Ed. / HND</t>
  </si>
  <si>
    <t>Water supply, sewerage, waste management and remediation
activities</t>
  </si>
  <si>
    <t>Professional, scientific and technical works</t>
  </si>
  <si>
    <t>Arts, entertainment and recreation</t>
  </si>
  <si>
    <t>Water Supply, Sewerage, Waste Management And Remediation Activities</t>
  </si>
  <si>
    <t>Water Supply, Sewerage, Waste  Management And Remediation Activities</t>
  </si>
  <si>
    <t>Handbill
Distribution</t>
  </si>
  <si>
    <t>Newspaper Advertisement</t>
  </si>
  <si>
    <t>ECOWAS</t>
  </si>
  <si>
    <t>Water Supply, Sewerage, Waste Management
And Remediation Activities</t>
  </si>
  <si>
    <t>Professional, Scientific And Technical
Works</t>
  </si>
  <si>
    <t>Obsolete Equipment</t>
  </si>
  <si>
    <t>Internet / Social Media</t>
  </si>
  <si>
    <t>Lack of Adequate Training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</si>
</sst>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E0E0E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/>
      <bottom/>
      <diagonal/>
    </border>
    <border>
      <left/>
      <right style="thin">
        <color theme="6"/>
      </right>
      <top/>
      <bottom/>
      <diagonal/>
    </border>
  </borders>
  <cellStyleXfs count="4">
    <xf numFmtId="0" fontId="0" fillId="0" borderId="0"/>
    <xf numFmtId="0" fontId="1" fillId="0" borderId="0"/>
    <xf numFmtId="0" fontId="2" fillId="0" borderId="0"/>
    <xf numFmtId="43" fontId="3" fillId="0" borderId="0" applyFont="0" applyFill="0" applyBorder="0" applyAlignment="0" applyProtection="0"/>
  </cellStyleXfs>
  <cellXfs count="30">
    <xf numFmtId="0" fontId="0" fillId="0" borderId="0" xfId="0"/>
    <xf numFmtId="0" fontId="1" fillId="0" borderId="0" xfId="1"/>
    <xf numFmtId="1" fontId="0" fillId="0" borderId="0" xfId="0" applyNumberFormat="1"/>
    <xf numFmtId="2" fontId="0" fillId="0" borderId="0" xfId="0" applyNumberFormat="1"/>
    <xf numFmtId="1" fontId="1" fillId="0" borderId="0" xfId="0" applyNumberFormat="1" applyFont="1"/>
    <xf numFmtId="0" fontId="1" fillId="0" borderId="0" xfId="0" applyFont="1"/>
    <xf numFmtId="1" fontId="1" fillId="0" borderId="0" xfId="1" applyNumberFormat="1"/>
    <xf numFmtId="3" fontId="0" fillId="0" borderId="0" xfId="1" applyNumberFormat="1" applyFont="1"/>
    <xf numFmtId="2" fontId="1" fillId="0" borderId="0" xfId="1" applyNumberFormat="1"/>
    <xf numFmtId="0" fontId="3" fillId="0" borderId="0" xfId="2" applyFont="1" applyAlignment="1">
      <alignment horizontal="left" vertical="top"/>
    </xf>
    <xf numFmtId="2" fontId="1" fillId="0" borderId="0" xfId="3" applyNumberFormat="1" applyFont="1"/>
    <xf numFmtId="2" fontId="0" fillId="0" borderId="0" xfId="3" applyNumberFormat="1" applyFont="1"/>
    <xf numFmtId="2" fontId="4" fillId="0" borderId="0" xfId="2" applyNumberFormat="1" applyFont="1"/>
    <xf numFmtId="0" fontId="0" fillId="2" borderId="0" xfId="0" applyFill="1"/>
    <xf numFmtId="1" fontId="1" fillId="0" borderId="1" xfId="0" applyNumberFormat="1" applyFont="1" applyBorder="1"/>
    <xf numFmtId="0" fontId="1" fillId="0" borderId="2" xfId="1" applyBorder="1"/>
    <xf numFmtId="1" fontId="1" fillId="0" borderId="3" xfId="0" applyNumberFormat="1" applyFont="1" applyBorder="1"/>
    <xf numFmtId="1" fontId="1" fillId="0" borderId="4" xfId="0" applyNumberFormat="1" applyFont="1" applyBorder="1"/>
    <xf numFmtId="0" fontId="1" fillId="0" borderId="5" xfId="1" applyBorder="1"/>
    <xf numFmtId="1" fontId="1" fillId="0" borderId="6" xfId="0" applyNumberFormat="1" applyFont="1" applyBorder="1"/>
    <xf numFmtId="0" fontId="6" fillId="0" borderId="0" xfId="2" applyFont="1" applyAlignment="1">
      <alignment horizontal="left" vertical="top"/>
    </xf>
    <xf numFmtId="0" fontId="6" fillId="0" borderId="0" xfId="0" applyFont="1"/>
    <xf numFmtId="0" fontId="1" fillId="0" borderId="3" xfId="1" applyBorder="1"/>
    <xf numFmtId="0" fontId="7" fillId="0" borderId="0" xfId="0" applyFont="1"/>
    <xf numFmtId="0" fontId="7" fillId="0" borderId="0" xfId="1" applyFont="1"/>
    <xf numFmtId="1" fontId="7" fillId="0" borderId="0" xfId="0" applyNumberFormat="1" applyFont="1"/>
    <xf numFmtId="1" fontId="7" fillId="0" borderId="0" xfId="1" applyNumberFormat="1" applyFont="1" applyAlignment="1">
      <alignment vertical="center"/>
    </xf>
    <xf numFmtId="1" fontId="7" fillId="0" borderId="0" xfId="1" applyNumberFormat="1" applyFont="1"/>
    <xf numFmtId="0" fontId="8" fillId="0" borderId="0" xfId="0" applyFont="1"/>
    <xf numFmtId="0" fontId="0" fillId="0" borderId="0" xfId="0" applyAlignment="1">
      <alignment wrapText="1"/>
    </xf>
  </cellXfs>
  <cellStyles count="4">
    <cellStyle name="Comma" xfId="3" builtinId="3"/>
    <cellStyle name="Normal" xfId="0" builtinId="0"/>
    <cellStyle name="Normal 2" xfId="1" xr:uid="{24081FD6-2204-4DA3-B882-84D8035615CC}"/>
    <cellStyle name="Normal 3" xfId="2" xr:uid="{E9C082A9-7342-49F3-A048-ACFF842370B7}"/>
  </cellStyles>
  <dxfs count="4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Ex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Ex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micro 2020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micro 2020</a:t>
          </a:r>
        </a:p>
      </cx:txPr>
    </cx:title>
    <cx:plotArea>
      <cx:plotAreaRegion>
        <cx:series layoutId="boxWhisker" uniqueId="{270E4926-1152-45FD-8123-5C3570962F34}">
          <cx:tx>
            <cx:txData>
              <cx:f>_xlchart.v1.0</cx:f>
              <cx:v>Micro(2020)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_xlchart.v1.13</cx:f>
      </cx:numDim>
    </cx:data>
  </cx:chartData>
  <cx:chart>
    <cx:title pos="t" align="ctr" overlay="0">
      <cx:tx>
        <cx:txData>
          <cx:v>micro 2017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micro 2017</a:t>
          </a:r>
        </a:p>
      </cx:txPr>
    </cx:title>
    <cx:plotArea>
      <cx:plotAreaRegion>
        <cx:series layoutId="boxWhisker" uniqueId="{A929E8D6-54FA-48C6-A2A1-40BB50AD672F}">
          <cx:tx>
            <cx:txData>
              <cx:f>_xlchart.v1.12</cx:f>
              <cx:v>Micro(2017)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>
      <cx:tx>
        <cx:txData>
          <cx:v>micro 2013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micro 2013</a:t>
          </a:r>
        </a:p>
      </cx:txPr>
    </cx:title>
    <cx:plotArea>
      <cx:plotAreaRegion>
        <cx:series layoutId="boxWhisker" uniqueId="{C79A2343-828C-41DA-A300-EC9FEA2C0929}">
          <cx:tx>
            <cx:txData>
              <cx:f>_xlchart.v1.4</cx:f>
              <cx:v>Micro(2013)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_xlchart.v1.17</cx:f>
      </cx:numDim>
    </cx:data>
  </cx:chartData>
  <cx:chart>
    <cx:title pos="t" align="ctr" overlay="0">
      <cx:tx>
        <cx:txData>
          <cx:v>small 2020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small 2020</a:t>
          </a:r>
        </a:p>
      </cx:txPr>
    </cx:title>
    <cx:plotArea>
      <cx:plotAreaRegion>
        <cx:series layoutId="boxWhisker" uniqueId="{8375BACB-E48A-44E2-B054-461749718E97}">
          <cx:tx>
            <cx:txData>
              <cx:f>_xlchart.v1.16</cx:f>
              <cx:v>Small(2020)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_xlchart.v1.21</cx:f>
      </cx:numDim>
    </cx:data>
  </cx:chartData>
  <cx:chart>
    <cx:title pos="t" align="ctr" overlay="0">
      <cx:tx>
        <cx:txData>
          <cx:v>small 2017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small 2017</a:t>
          </a:r>
        </a:p>
      </cx:txPr>
    </cx:title>
    <cx:plotArea>
      <cx:plotAreaRegion>
        <cx:series layoutId="boxWhisker" uniqueId="{7385C3C2-7826-4FA1-B8B1-D363E1529280}">
          <cx:tx>
            <cx:txData>
              <cx:f>_xlchart.v1.20</cx:f>
              <cx:v>Small(2017)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_xlchart.v1.15</cx:f>
      </cx:numDim>
    </cx:data>
  </cx:chartData>
  <cx:chart>
    <cx:title pos="t" align="ctr" overlay="0">
      <cx:tx>
        <cx:txData>
          <cx:v>small 2013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small 2013</a:t>
          </a:r>
        </a:p>
      </cx:txPr>
    </cx:title>
    <cx:plotArea>
      <cx:plotAreaRegion>
        <cx:series layoutId="boxWhisker" uniqueId="{8A13A9A5-BBCE-4747-B2D3-7184DF2D7408}">
          <cx:tx>
            <cx:txData>
              <cx:f>_xlchart.v1.14</cx:f>
              <cx:v>Small(2013)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small 2010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small 2010</a:t>
          </a:r>
        </a:p>
      </cx:txPr>
    </cx:title>
    <cx:plotArea>
      <cx:plotAreaRegion>
        <cx:series layoutId="boxWhisker" uniqueId="{40A8F955-3686-4CFE-AF6E-27C1874C6933}">
          <cx:tx>
            <cx:txData>
              <cx:f>_xlchart.v1.2</cx:f>
              <cx:v>Small(2010)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_xlchart.v1.19</cx:f>
      </cx:numDim>
    </cx:data>
  </cx:chartData>
  <cx:chart>
    <cx:title pos="t" align="ctr" overlay="0">
      <cx:tx>
        <cx:txData>
          <cx:v>medium 2020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medium 2020</a:t>
          </a:r>
        </a:p>
      </cx:txPr>
    </cx:title>
    <cx:plotArea>
      <cx:plotAreaRegion>
        <cx:series layoutId="boxWhisker" uniqueId="{471A2880-00E8-4E57-8670-10AB56FF5D29}">
          <cx:tx>
            <cx:txData>
              <cx:f>_xlchart.v1.18</cx:f>
              <cx:v>Medium(2020)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_xlchart.v1.23</cx:f>
      </cx:numDim>
    </cx:data>
  </cx:chartData>
  <cx:chart>
    <cx:title pos="t" align="ctr" overlay="0">
      <cx:tx>
        <cx:txData>
          <cx:v>medium 2017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medium 2017</a:t>
          </a:r>
        </a:p>
      </cx:txPr>
    </cx:title>
    <cx:plotArea>
      <cx:plotAreaRegion>
        <cx:series layoutId="boxWhisker" uniqueId="{171B3816-C76E-4A50-893C-3DEFDD546661}">
          <cx:tx>
            <cx:txData>
              <cx:f>_xlchart.v1.22</cx:f>
              <cx:v>Medium(2017)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</cx:f>
      </cx:numDim>
    </cx:data>
  </cx:chartData>
  <cx:chart>
    <cx:title pos="t" align="ctr" overlay="0">
      <cx:tx>
        <cx:txData>
          <cx:v>medium 2013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medium 2013</a:t>
          </a:r>
        </a:p>
      </cx:txPr>
    </cx:title>
    <cx:plotArea>
      <cx:plotAreaRegion>
        <cx:series layoutId="boxWhisker" uniqueId="{309EB00E-8D76-47B1-8852-6293ADB2D7E7}">
          <cx:tx>
            <cx:txData>
              <cx:f>_xlchart.v1.7</cx:f>
              <cx:v>Medium(2013) 40 99 195 117 27 72 22 99 168 99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_xlchart.v1.9</cx:f>
      </cx:numDim>
    </cx:data>
  </cx:chartData>
  <cx:chart>
    <cx:title pos="t" align="ctr" overlay="0">
      <cx:tx>
        <cx:txData>
          <cx:v>medium 2010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medium 2010</a:t>
          </a:r>
        </a:p>
      </cx:txPr>
    </cx:title>
    <cx:plotArea>
      <cx:plotAreaRegion>
        <cx:series layoutId="boxWhisker" uniqueId="{493EEA3C-85FA-487F-ACED-C8929219E9D8}">
          <cx:tx>
            <cx:txData>
              <cx:f>_xlchart.v1.8</cx:f>
              <cx:v>Medium(2010)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1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_xlchart.v1.10</cx:f>
      </cx:numDim>
    </cx:data>
    <cx:data id="1">
      <cx:numDim type="val">
        <cx:f>_xlchart.v1.11</cx:f>
      </cx:numDim>
    </cx:data>
  </cx:chartData>
  <cx:chart>
    <cx:title pos="t" align="ctr" overlay="0">
      <cx:tx>
        <cx:txData>
          <cx:v>Medium 2013, 2010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Medium 2013, 2010</a:t>
          </a:r>
        </a:p>
      </cx:txPr>
    </cx:title>
    <cx:plotArea>
      <cx:plotAreaRegion>
        <cx:series layoutId="boxWhisker" uniqueId="{0B65E73E-07ED-448A-B93C-248ED8708CF8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58A5A1D3-8663-44C3-90A8-9218903A0C09}"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1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_xlchart.v1.25</cx:f>
      </cx:numDim>
    </cx:data>
    <cx:data id="1">
      <cx:numDim type="val">
        <cx:f>_xlchart.v1.27</cx:f>
      </cx:numDim>
    </cx:data>
    <cx:data id="2">
      <cx:numDim type="val">
        <cx:f>_xlchart.v1.29</cx:f>
      </cx:numDim>
    </cx:data>
    <cx:data id="3">
      <cx:numDim type="val">
        <cx:f>_xlchart.v1.31</cx:f>
      </cx:numDim>
    </cx:data>
  </cx:chartData>
  <cx:chart>
    <cx:title pos="t" align="ctr" overlay="0"/>
    <cx:plotArea>
      <cx:plotAreaRegion>
        <cx:series layoutId="boxWhisker" uniqueId="{767941D8-FF5F-4690-AEFB-236480E8567F}">
          <cx:tx>
            <cx:txData>
              <cx:f>_xlchart.v1.24</cx:f>
              <cx:v>Micro(2017)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B0EB75D2-CC74-49DB-B42E-FC215DFD39DA}">
          <cx:tx>
            <cx:txData>
              <cx:f>_xlchart.v1.26</cx:f>
              <cx:v>Micro(2013)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21AD8D90-F6E6-4DAF-A53D-84B6BABFC138}">
          <cx:tx>
            <cx:txData>
              <cx:f>_xlchart.v1.28</cx:f>
              <cx:v>Small(2017)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C14D8748-FE03-48F2-9A04-DC62736390BD}">
          <cx:tx>
            <cx:txData>
              <cx:f>_xlchart.v1.30</cx:f>
              <cx:v>Medium(2017)</cx:v>
            </cx:txData>
          </cx:tx>
          <cx:dataId val="3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1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_xlchart.v1.33</cx:f>
      </cx:numDim>
    </cx:data>
    <cx:data id="1">
      <cx:numDim type="val">
        <cx:f>_xlchart.v1.35</cx:f>
      </cx:numDim>
    </cx:data>
    <cx:data id="2">
      <cx:numDim type="val">
        <cx:f>_xlchart.v1.37</cx:f>
      </cx:numDim>
    </cx:data>
    <cx:data id="3">
      <cx:numDim type="val">
        <cx:f>_xlchart.v1.39</cx:f>
      </cx:numDim>
    </cx:data>
    <cx:data id="4">
      <cx:numDim type="val">
        <cx:f>_xlchart.v1.41</cx:f>
      </cx:numDim>
    </cx:data>
    <cx:data id="5">
      <cx:numDim type="val">
        <cx:f>_xlchart.v1.43</cx:f>
      </cx:numDim>
    </cx:data>
    <cx:data id="6">
      <cx:numDim type="val">
        <cx:f>_xlchart.v1.45</cx:f>
      </cx:numDim>
    </cx:data>
    <cx:data id="7">
      <cx:numDim type="val">
        <cx:f>_xlchart.v1.47</cx:f>
      </cx:numDim>
    </cx:data>
    <cx:data id="8">
      <cx:numDim type="val">
        <cx:f>_xlchart.v1.49</cx:f>
      </cx:numDim>
    </cx:data>
    <cx:data id="9">
      <cx:numDim type="val">
        <cx:f>_xlchart.v1.51</cx:f>
      </cx:numDim>
    </cx:data>
  </cx:chartData>
  <cx:chart>
    <cx:title pos="t" align="ctr" overlay="0"/>
    <cx:plotArea>
      <cx:plotAreaRegion>
        <cx:series layoutId="boxWhisker" uniqueId="{BD3B187E-83AE-4D42-BBA0-90BE6046CFF4}">
          <cx:tx>
            <cx:txData>
              <cx:f>_xlchart.v1.32</cx:f>
              <cx:v>Male(Micro)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8369E01-D09F-43F1-A92B-F9CFB757C87E}">
          <cx:tx>
            <cx:txData>
              <cx:f>_xlchart.v1.34</cx:f>
              <cx:v>Female(Micro)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9CC69581-8A13-4550-B4C8-C12B2F731AF5}">
          <cx:tx>
            <cx:txData>
              <cx:f>_xlchart.v1.36</cx:f>
              <cx:v>Male (2020)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D2CA6008-C355-4CD2-9239-CC3F784C18F5}">
          <cx:tx>
            <cx:txData>
              <cx:f>_xlchart.v1.38</cx:f>
              <cx:v>Female(2020)</cx:v>
            </cx:txData>
          </cx:tx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2559E1FE-F2AC-44A0-95E8-E1ED1F1B7D74}">
          <cx:tx>
            <cx:txData>
              <cx:f>_xlchart.v1.40</cx:f>
              <cx:v>Male(2017)</cx:v>
            </cx:txData>
          </cx:tx>
          <cx:dataId val="4"/>
          <cx:layoutPr>
            <cx:visibility meanLine="0" meanMarker="1" nonoutliers="0" outliers="1"/>
            <cx:statistics quartileMethod="exclusive"/>
          </cx:layoutPr>
        </cx:series>
        <cx:series layoutId="boxWhisker" uniqueId="{C4ACB983-CB61-417C-94C4-432985B4010E}">
          <cx:tx>
            <cx:txData>
              <cx:f>_xlchart.v1.42</cx:f>
              <cx:v>Female(2017)</cx:v>
            </cx:txData>
          </cx:tx>
          <cx:dataId val="5"/>
          <cx:layoutPr>
            <cx:visibility meanLine="0" meanMarker="1" nonoutliers="0" outliers="1"/>
            <cx:statistics quartileMethod="exclusive"/>
          </cx:layoutPr>
        </cx:series>
        <cx:series layoutId="boxWhisker" uniqueId="{CE870CD7-2E52-4072-AEA7-50C3B07A4040}">
          <cx:tx>
            <cx:txData>
              <cx:f>_xlchart.v1.44</cx:f>
              <cx:v>Male(2013)</cx:v>
            </cx:txData>
          </cx:tx>
          <cx:dataId val="6"/>
          <cx:layoutPr>
            <cx:visibility meanLine="0" meanMarker="1" nonoutliers="0" outliers="1"/>
            <cx:statistics quartileMethod="exclusive"/>
          </cx:layoutPr>
        </cx:series>
        <cx:series layoutId="boxWhisker" uniqueId="{E5F0AA3E-AE35-45B9-8A4C-C5E814CF5F59}">
          <cx:tx>
            <cx:txData>
              <cx:f>_xlchart.v1.46</cx:f>
              <cx:v>Female(2013)</cx:v>
            </cx:txData>
          </cx:tx>
          <cx:dataId val="7"/>
          <cx:layoutPr>
            <cx:visibility meanLine="0" meanMarker="1" nonoutliers="0" outliers="1"/>
            <cx:statistics quartileMethod="exclusive"/>
          </cx:layoutPr>
        </cx:series>
        <cx:series layoutId="boxWhisker" uniqueId="{BB9C8C41-A941-42CE-83D6-494367CD903A}">
          <cx:tx>
            <cx:txData>
              <cx:f>_xlchart.v1.48</cx:f>
              <cx:v>Male(2010)</cx:v>
            </cx:txData>
          </cx:tx>
          <cx:dataId val="8"/>
          <cx:layoutPr>
            <cx:visibility meanLine="0" meanMarker="1" nonoutliers="0" outliers="1"/>
            <cx:statistics quartileMethod="exclusive"/>
          </cx:layoutPr>
        </cx:series>
        <cx:series layoutId="boxWhisker" uniqueId="{806BBE52-F9C6-454F-9845-3DEC9E580478}">
          <cx:tx>
            <cx:txData>
              <cx:f>_xlchart.v1.50</cx:f>
              <cx:v>Female(2010)</cx:v>
            </cx:txData>
          </cx:tx>
          <cx:dataId val="9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1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_xlchart.v1.53</cx:f>
      </cx:numDim>
    </cx:data>
    <cx:data id="1">
      <cx:numDim type="val">
        <cx:f>_xlchart.v1.55</cx:f>
      </cx:numDim>
    </cx:data>
    <cx:data id="2">
      <cx:numDim type="val">
        <cx:f>_xlchart.v1.57</cx:f>
      </cx:numDim>
    </cx:data>
    <cx:data id="3">
      <cx:numDim type="val">
        <cx:f>_xlchart.v1.59</cx:f>
      </cx:numDim>
    </cx:data>
    <cx:data id="4">
      <cx:numDim type="val">
        <cx:f>_xlchart.v1.61</cx:f>
      </cx:numDim>
    </cx:data>
    <cx:data id="5">
      <cx:numDim type="val">
        <cx:f>_xlchart.v1.63</cx:f>
      </cx:numDim>
    </cx:data>
    <cx:data id="6">
      <cx:numDim type="val">
        <cx:f>_xlchart.v1.65</cx:f>
      </cx:numDim>
    </cx:data>
    <cx:data id="7">
      <cx:numDim type="val">
        <cx:f>_xlchart.v1.67</cx:f>
      </cx:numDim>
    </cx:data>
  </cx:chartData>
  <cx:chart>
    <cx:title pos="t" align="ctr" overlay="0"/>
    <cx:plotArea>
      <cx:plotAreaRegion>
        <cx:series layoutId="boxWhisker" uniqueId="{465961D3-7B1F-426B-B63A-52E1DBF22BAC}">
          <cx:tx>
            <cx:txData>
              <cx:f>_xlchart.v1.52</cx:f>
              <cx:v>Male(Micro)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B7299E61-FE7F-4435-83C8-EF0C4CD5F1C0}">
          <cx:tx>
            <cx:txData>
              <cx:f>_xlchart.v1.54</cx:f>
              <cx:v>Female(Micro)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5CB299BB-D196-4561-98B4-253DCD2E2B56}">
          <cx:tx>
            <cx:txData>
              <cx:f>_xlchart.v1.56</cx:f>
              <cx:v>Male(2020)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D4BEA1D0-863D-4A93-B949-D516A55E3378}">
          <cx:tx>
            <cx:txData>
              <cx:f>_xlchart.v1.58</cx:f>
              <cx:v>Female(2020)</cx:v>
            </cx:txData>
          </cx:tx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6B306457-FE94-4EE6-9163-E5B7742A5466}">
          <cx:tx>
            <cx:txData>
              <cx:f>_xlchart.v1.60</cx:f>
              <cx:v>Male(2017)</cx:v>
            </cx:txData>
          </cx:tx>
          <cx:dataId val="4"/>
          <cx:layoutPr>
            <cx:visibility meanLine="0" meanMarker="1" nonoutliers="0" outliers="1"/>
            <cx:statistics quartileMethod="exclusive"/>
          </cx:layoutPr>
        </cx:series>
        <cx:series layoutId="boxWhisker" uniqueId="{6D955EDC-CA0A-48E9-BD44-B2CFBFA48D58}">
          <cx:tx>
            <cx:txData>
              <cx:f>_xlchart.v1.62</cx:f>
              <cx:v>Female(2017)</cx:v>
            </cx:txData>
          </cx:tx>
          <cx:dataId val="5"/>
          <cx:layoutPr>
            <cx:visibility meanLine="0" meanMarker="1" nonoutliers="0" outliers="1"/>
            <cx:statistics quartileMethod="exclusive"/>
          </cx:layoutPr>
        </cx:series>
        <cx:series layoutId="boxWhisker" uniqueId="{33A84EA4-6AB5-4C99-9C5D-E8C0562E3D2D}">
          <cx:tx>
            <cx:txData>
              <cx:f>_xlchart.v1.64</cx:f>
              <cx:v>Male(2013)</cx:v>
            </cx:txData>
          </cx:tx>
          <cx:dataId val="6"/>
          <cx:layoutPr>
            <cx:visibility meanLine="0" meanMarker="1" nonoutliers="0" outliers="1"/>
            <cx:statistics quartileMethod="exclusive"/>
          </cx:layoutPr>
        </cx:series>
        <cx:series layoutId="boxWhisker" uniqueId="{8CA65D7A-D661-49BC-8002-409650358874}">
          <cx:tx>
            <cx:txData>
              <cx:f>_xlchart.v1.66</cx:f>
              <cx:v>Female(2013)</cx:v>
            </cx:txData>
          </cx:tx>
          <cx:dataId val="7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1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_xlchart.v1.69</cx:f>
      </cx:numDim>
    </cx:data>
    <cx:data id="1">
      <cx:numDim type="val">
        <cx:f>_xlchart.v1.71</cx:f>
      </cx:numDim>
    </cx:data>
  </cx:chartData>
  <cx:chart>
    <cx:title pos="t" align="ctr" overlay="0"/>
    <cx:plotArea>
      <cx:plotAreaRegion>
        <cx:series layoutId="boxWhisker" uniqueId="{50F5806F-B3B6-4C80-8D57-5FA87669C58D}">
          <cx:tx>
            <cx:txData>
              <cx:f>_xlchart.v1.68</cx:f>
              <cx:v>Enterprises(2020)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796A4CC-7258-4DEF-8D1A-BCC3334C04DD}">
          <cx:tx>
            <cx:txData>
              <cx:f>_xlchart.v1.70</cx:f>
              <cx:v>Enterprises(2017)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1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_xlchart.v1.73</cx:f>
      </cx:numDim>
    </cx:data>
    <cx:data id="1">
      <cx:numDim type="val">
        <cx:f>_xlchart.v1.75</cx:f>
      </cx:numDim>
    </cx:data>
    <cx:data id="2">
      <cx:numDim type="val">
        <cx:f>_xlchart.v1.77</cx:f>
      </cx:numDim>
    </cx:data>
    <cx:data id="3">
      <cx:numDim type="val">
        <cx:f>_xlchart.v1.79</cx:f>
      </cx:numDim>
    </cx:data>
  </cx:chartData>
  <cx:chart>
    <cx:title pos="t" align="ctr" overlay="0"/>
    <cx:plotArea>
      <cx:plotAreaRegion>
        <cx:series layoutId="boxWhisker" uniqueId="{510B2C41-98D9-4B8D-A03F-B2BFFFD83B18}" formatIdx="0">
          <cx:tx>
            <cx:txData>
              <cx:f>_xlchart.v1.72</cx:f>
              <cx:v>Qualified Artisans Readily Available (Micro)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8AA9FF6D-7E3B-448F-8AAA-44DC4D18758A}" formatIdx="1">
          <cx:tx>
            <cx:txData>
              <cx:f>_xlchart.v1.74</cx:f>
              <cx:v>Qualified Artisans Not Readily Available(Micro)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4687CC38-9E50-46AF-8D16-23904271CE13}" formatIdx="2">
          <cx:tx>
            <cx:txData>
              <cx:f>_xlchart.v1.76</cx:f>
              <cx:v>Qualified Artisans Readily Available (SME)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612D9444-A7F7-4F53-8C1C-83681B8D1EEA}" formatIdx="4">
          <cx:tx>
            <cx:txData>
              <cx:f>_xlchart.v1.78</cx:f>
              <cx:v>Qualified Artisans Not Readily Available (SME)</cx:v>
            </cx:txData>
          </cx:tx>
          <cx:dataId val="3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1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_xlchart.v1.81</cx:f>
      </cx:numDim>
    </cx:data>
  </cx:chartData>
  <cx:chart>
    <cx:title pos="t" align="ctr" overlay="0"/>
    <cx:plotArea>
      <cx:plotAreaRegion>
        <cx:series layoutId="boxWhisker" uniqueId="{2E5703C9-4EA8-4385-90CA-52BFC7E3EB4F}">
          <cx:tx>
            <cx:txData>
              <cx:f>_xlchart.v1.80</cx:f>
              <cx:v>Microenterprise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1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_xlchart.v1.83</cx:f>
      </cx:numDim>
    </cx:data>
    <cx:data id="1">
      <cx:numDim type="val">
        <cx:f>_xlchart.v1.85</cx:f>
      </cx:numDim>
    </cx:data>
    <cx:data id="2">
      <cx:numDim type="val">
        <cx:f>_xlchart.v1.87</cx:f>
      </cx:numDim>
    </cx:data>
  </cx:chartData>
  <cx:chart>
    <cx:title pos="t" align="ctr" overlay="0"/>
    <cx:plotArea>
      <cx:plotAreaRegion>
        <cx:series layoutId="boxWhisker" uniqueId="{ECF7368C-A69F-449E-9D7F-ED51083EDBEE}">
          <cx:tx>
            <cx:txData>
              <cx:f>_xlchart.v1.82</cx:f>
              <cx:v>Microenterprise(2020)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5BD4D6C5-9073-4586-A13C-CD01F73F3651}">
          <cx:tx>
            <cx:txData>
              <cx:f>_xlchart.v1.84</cx:f>
              <cx:v>Mcroenterprise(2017)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4CD3422A-3ABA-4F60-9156-2CA48E36FACD}">
          <cx:tx>
            <cx:txData>
              <cx:f>_xlchart.v1.86</cx:f>
              <cx:v>SME(2020)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2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_xlchart.v1.89</cx:f>
      </cx:numDim>
    </cx:data>
  </cx:chartData>
  <cx:chart>
    <cx:title pos="t" align="ctr" overlay="0"/>
    <cx:plotArea>
      <cx:plotAreaRegion>
        <cx:series layoutId="boxWhisker" uniqueId="{1AD72A84-1C3E-4CBA-ACE0-6AD7C44E376E}">
          <cx:tx>
            <cx:txData>
              <cx:f>_xlchart.v1.88</cx:f>
              <cx:v>Aware(Micro)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2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_xlchart.v1.91</cx:f>
      </cx:numDim>
    </cx:data>
    <cx:data id="1">
      <cx:numDim type="val">
        <cx:f>_xlchart.v1.93</cx:f>
      </cx:numDim>
    </cx:data>
    <cx:data id="2">
      <cx:numDim type="val">
        <cx:f>_xlchart.v1.95</cx:f>
      </cx:numDim>
    </cx:data>
    <cx:data id="3">
      <cx:numDim type="val">
        <cx:f>_xlchart.v1.97</cx:f>
      </cx:numDim>
    </cx:data>
  </cx:chartData>
  <cx:chart>
    <cx:title pos="t" align="ctr" overlay="0"/>
    <cx:plotArea>
      <cx:plotAreaRegion>
        <cx:series layoutId="boxWhisker" uniqueId="{7E58C9CF-01CE-41F4-B1C6-A9FF50799210}">
          <cx:tx>
            <cx:txData>
              <cx:f>_xlchart.v1.90</cx:f>
              <cx:v>Microenterprise 2012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2B929BC7-E773-4264-B57A-470BB3DF4DD5}">
          <cx:tx>
            <cx:txData>
              <cx:f>_xlchart.v1.92</cx:f>
              <cx:v>Microenterprise 2013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FAA8187F-5227-4743-A945-5282B0258A01}">
          <cx:tx>
            <cx:txData>
              <cx:f>_xlchart.v1.94</cx:f>
              <cx:v>SME 2017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6F461E36-F958-4C70-B352-F0039DA72249}">
          <cx:tx>
            <cx:txData>
              <cx:f>_xlchart.v1.96</cx:f>
              <cx:v>SME 2013</cx:v>
            </cx:txData>
          </cx:tx>
          <cx:dataId val="3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14/relationships/chartEx" Target="../charts/chartEx8.xml"/><Relationship Id="rId3" Type="http://schemas.microsoft.com/office/2014/relationships/chartEx" Target="../charts/chartEx3.xml"/><Relationship Id="rId7" Type="http://schemas.microsoft.com/office/2014/relationships/chartEx" Target="../charts/chartEx7.xml"/><Relationship Id="rId12" Type="http://schemas.microsoft.com/office/2014/relationships/chartEx" Target="../charts/chartEx12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6" Type="http://schemas.microsoft.com/office/2014/relationships/chartEx" Target="../charts/chartEx6.xml"/><Relationship Id="rId11" Type="http://schemas.microsoft.com/office/2014/relationships/chartEx" Target="../charts/chartEx11.xml"/><Relationship Id="rId5" Type="http://schemas.microsoft.com/office/2014/relationships/chartEx" Target="../charts/chartEx5.xml"/><Relationship Id="rId10" Type="http://schemas.microsoft.com/office/2014/relationships/chartEx" Target="../charts/chartEx10.xml"/><Relationship Id="rId4" Type="http://schemas.microsoft.com/office/2014/relationships/chartEx" Target="../charts/chartEx4.xml"/><Relationship Id="rId9" Type="http://schemas.microsoft.com/office/2014/relationships/chartEx" Target="../charts/chartEx9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3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14.xml"/></Relationships>
</file>

<file path=xl/drawings/_rels/drawing4.xml.rels><?xml version="1.0" encoding="UTF-8" standalone="yes"?>
<Relationships xmlns="http://schemas.openxmlformats.org/package/2006/relationships"><Relationship Id="rId1" Type="http://schemas.microsoft.com/office/2014/relationships/chartEx" Target="../charts/chartEx15.xml"/></Relationships>
</file>

<file path=xl/drawings/_rels/drawing5.xml.rels><?xml version="1.0" encoding="UTF-8" standalone="yes"?>
<Relationships xmlns="http://schemas.openxmlformats.org/package/2006/relationships"><Relationship Id="rId1" Type="http://schemas.microsoft.com/office/2014/relationships/chartEx" Target="../charts/chartEx16.xml"/></Relationships>
</file>

<file path=xl/drawings/_rels/drawing6.xml.rels><?xml version="1.0" encoding="UTF-8" standalone="yes"?>
<Relationships xmlns="http://schemas.openxmlformats.org/package/2006/relationships"><Relationship Id="rId1" Type="http://schemas.microsoft.com/office/2014/relationships/chartEx" Target="../charts/chartEx17.xml"/></Relationships>
</file>

<file path=xl/drawings/_rels/drawing7.xml.rels><?xml version="1.0" encoding="UTF-8" standalone="yes"?>
<Relationships xmlns="http://schemas.openxmlformats.org/package/2006/relationships"><Relationship Id="rId1" Type="http://schemas.microsoft.com/office/2014/relationships/chartEx" Target="../charts/chartEx18.xml"/></Relationships>
</file>

<file path=xl/drawings/_rels/drawing8.xml.rels><?xml version="1.0" encoding="UTF-8" standalone="yes"?>
<Relationships xmlns="http://schemas.openxmlformats.org/package/2006/relationships"><Relationship Id="rId1" Type="http://schemas.microsoft.com/office/2014/relationships/chartEx" Target="../charts/chartEx19.xml"/></Relationships>
</file>

<file path=xl/drawings/_rels/drawing9.xml.rels><?xml version="1.0" encoding="UTF-8" standalone="yes"?>
<Relationships xmlns="http://schemas.openxmlformats.org/package/2006/relationships"><Relationship Id="rId1" Type="http://schemas.microsoft.com/office/2014/relationships/chartEx" Target="../charts/chartEx20.xml"/></Relationships>
</file>

<file path=xl/drawings/_rels/drawing10.xml.rels><?xml version="1.0" encoding="UTF-8" standalone="yes"?>
<Relationships xmlns="http://schemas.openxmlformats.org/package/2006/relationships"><Relationship Id="rId1" Type="http://schemas.microsoft.com/office/2014/relationships/chartEx" Target="../charts/chartEx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9525</xdr:rowOff>
    </xdr:from>
    <xdr:to>
      <xdr:col>5</xdr:col>
      <xdr:colOff>5292</xdr:colOff>
      <xdr:row>13</xdr:row>
      <xdr:rowOff>74084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B828E3F9-D4E2-4E5C-9371-2E1DC51673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025"/>
              <a:ext cx="3053292" cy="23505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5</xdr:col>
      <xdr:colOff>57150</xdr:colOff>
      <xdr:row>1</xdr:row>
      <xdr:rowOff>0</xdr:rowOff>
    </xdr:from>
    <xdr:to>
      <xdr:col>8</xdr:col>
      <xdr:colOff>482600</xdr:colOff>
      <xdr:row>12</xdr:row>
      <xdr:rowOff>11642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C2FDE6F1-5B11-456B-BCFD-06CCD3C1F21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05150" y="190500"/>
              <a:ext cx="2254250" cy="210714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600075</xdr:colOff>
      <xdr:row>1</xdr:row>
      <xdr:rowOff>57150</xdr:rowOff>
    </xdr:from>
    <xdr:to>
      <xdr:col>14</xdr:col>
      <xdr:colOff>117475</xdr:colOff>
      <xdr:row>11</xdr:row>
      <xdr:rowOff>15875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289666D2-AC28-42C6-9CD5-89F8D33F7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76875" y="247650"/>
              <a:ext cx="3175000" cy="1863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14</xdr:col>
      <xdr:colOff>495300</xdr:colOff>
      <xdr:row>1</xdr:row>
      <xdr:rowOff>0</xdr:rowOff>
    </xdr:from>
    <xdr:to>
      <xdr:col>20</xdr:col>
      <xdr:colOff>228600</xdr:colOff>
      <xdr:row>12</xdr:row>
      <xdr:rowOff>76200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D3EDCEAE-9B87-4237-AE27-AF3E3465A16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29700" y="190500"/>
              <a:ext cx="3390900" cy="2171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15</xdr:row>
      <xdr:rowOff>0</xdr:rowOff>
    </xdr:from>
    <xdr:to>
      <xdr:col>5</xdr:col>
      <xdr:colOff>143933</xdr:colOff>
      <xdr:row>27</xdr:row>
      <xdr:rowOff>75142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B6B6FAD2-A603-4EEE-88BB-1D7F591B82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9600" y="2857500"/>
              <a:ext cx="2582333" cy="236114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5</xdr:col>
      <xdr:colOff>228600</xdr:colOff>
      <xdr:row>12</xdr:row>
      <xdr:rowOff>171450</xdr:rowOff>
    </xdr:from>
    <xdr:to>
      <xdr:col>9</xdr:col>
      <xdr:colOff>234950</xdr:colOff>
      <xdr:row>25</xdr:row>
      <xdr:rowOff>161925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25F37651-8387-4668-9C1D-86EBE4787FE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276600" y="2457450"/>
              <a:ext cx="244475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485775</xdr:colOff>
      <xdr:row>13</xdr:row>
      <xdr:rowOff>133349</xdr:rowOff>
    </xdr:from>
    <xdr:to>
      <xdr:col>15</xdr:col>
      <xdr:colOff>142875</xdr:colOff>
      <xdr:row>25</xdr:row>
      <xdr:rowOff>9524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A325DC5F-25F1-4469-9C68-4C4F4BA0E2A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72175" y="2609849"/>
              <a:ext cx="3314700" cy="2162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15</xdr:col>
      <xdr:colOff>295275</xdr:colOff>
      <xdr:row>12</xdr:row>
      <xdr:rowOff>180975</xdr:rowOff>
    </xdr:from>
    <xdr:to>
      <xdr:col>20</xdr:col>
      <xdr:colOff>157692</xdr:colOff>
      <xdr:row>26</xdr:row>
      <xdr:rowOff>33867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0" name="Chart 9">
              <a:extLst>
                <a:ext uri="{FF2B5EF4-FFF2-40B4-BE49-F238E27FC236}">
                  <a16:creationId xmlns:a16="http://schemas.microsoft.com/office/drawing/2014/main" id="{67550CD0-97AB-4FEA-9226-0CFD23444DD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39275" y="2466975"/>
              <a:ext cx="2910417" cy="251989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29</xdr:row>
      <xdr:rowOff>0</xdr:rowOff>
    </xdr:from>
    <xdr:to>
      <xdr:col>4</xdr:col>
      <xdr:colOff>514350</xdr:colOff>
      <xdr:row>39</xdr:row>
      <xdr:rowOff>106892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Chart 10">
              <a:extLst>
                <a:ext uri="{FF2B5EF4-FFF2-40B4-BE49-F238E27FC236}">
                  <a16:creationId xmlns:a16="http://schemas.microsoft.com/office/drawing/2014/main" id="{8E9AC04E-7B7B-46E7-99B4-D2D063B1B05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5524500"/>
              <a:ext cx="2952750" cy="201189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5</xdr:col>
      <xdr:colOff>152400</xdr:colOff>
      <xdr:row>28</xdr:row>
      <xdr:rowOff>85724</xdr:rowOff>
    </xdr:from>
    <xdr:to>
      <xdr:col>10</xdr:col>
      <xdr:colOff>314325</xdr:colOff>
      <xdr:row>38</xdr:row>
      <xdr:rowOff>171449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2" name="Chart 11">
              <a:extLst>
                <a:ext uri="{FF2B5EF4-FFF2-40B4-BE49-F238E27FC236}">
                  <a16:creationId xmlns:a16="http://schemas.microsoft.com/office/drawing/2014/main" id="{D5381EAF-DCCB-47B4-9420-9F2698F8DD8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200400" y="5419724"/>
              <a:ext cx="3209925" cy="1990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304800</xdr:colOff>
      <xdr:row>26</xdr:row>
      <xdr:rowOff>114300</xdr:rowOff>
    </xdr:from>
    <xdr:to>
      <xdr:col>15</xdr:col>
      <xdr:colOff>61383</xdr:colOff>
      <xdr:row>37</xdr:row>
      <xdr:rowOff>115359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3" name="Chart 12">
              <a:extLst>
                <a:ext uri="{FF2B5EF4-FFF2-40B4-BE49-F238E27FC236}">
                  <a16:creationId xmlns:a16="http://schemas.microsoft.com/office/drawing/2014/main" id="{35A514E7-C76F-4E78-A823-36A6FE1812A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00800" y="5067300"/>
              <a:ext cx="2804583" cy="20965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16</xdr:col>
      <xdr:colOff>9525</xdr:colOff>
      <xdr:row>27</xdr:row>
      <xdr:rowOff>0</xdr:rowOff>
    </xdr:from>
    <xdr:to>
      <xdr:col>19</xdr:col>
      <xdr:colOff>600075</xdr:colOff>
      <xdr:row>38</xdr:row>
      <xdr:rowOff>52388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3EF69FFD-F6B2-4EFE-91A5-5702DF5FA18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63125" y="5143500"/>
              <a:ext cx="2419350" cy="21478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561975</xdr:colOff>
      <xdr:row>0</xdr:row>
      <xdr:rowOff>104775</xdr:rowOff>
    </xdr:from>
    <xdr:to>
      <xdr:col>12</xdr:col>
      <xdr:colOff>542925</xdr:colOff>
      <xdr:row>13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01215574-309D-84C6-FD9D-347090F3FA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82350" y="104775"/>
              <a:ext cx="3028950" cy="2371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174625</xdr:colOff>
      <xdr:row>5</xdr:row>
      <xdr:rowOff>88900</xdr:rowOff>
    </xdr:from>
    <xdr:to>
      <xdr:col>22</xdr:col>
      <xdr:colOff>476250</xdr:colOff>
      <xdr:row>20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F4F0125F-A6C4-E23F-BE04-2A7F313A480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929225" y="898525"/>
              <a:ext cx="3349625" cy="2435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339327</xdr:colOff>
      <xdr:row>0</xdr:row>
      <xdr:rowOff>128587</xdr:rowOff>
    </xdr:from>
    <xdr:to>
      <xdr:col>12</xdr:col>
      <xdr:colOff>2774156</xdr:colOff>
      <xdr:row>14</xdr:row>
      <xdr:rowOff>59531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1CE52F0-A41B-E73F-F457-C96DAC9E64E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750777" y="128587"/>
              <a:ext cx="3311129" cy="25979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1</xdr:row>
      <xdr:rowOff>176212</xdr:rowOff>
    </xdr:from>
    <xdr:to>
      <xdr:col>10</xdr:col>
      <xdr:colOff>561975</xdr:colOff>
      <xdr:row>13</xdr:row>
      <xdr:rowOff>19050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555CD146-D69C-A11D-30CD-D55F4AB2779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34500" y="366712"/>
              <a:ext cx="2238375" cy="21288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4</xdr:row>
      <xdr:rowOff>23812</xdr:rowOff>
    </xdr:from>
    <xdr:to>
      <xdr:col>10</xdr:col>
      <xdr:colOff>428625</xdr:colOff>
      <xdr:row>15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5CAEB8E8-7CE3-95E7-6461-ED108F8F2BB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964025" y="785812"/>
              <a:ext cx="2676525" cy="20716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442232</xdr:colOff>
      <xdr:row>1</xdr:row>
      <xdr:rowOff>0</xdr:rowOff>
    </xdr:from>
    <xdr:to>
      <xdr:col>11</xdr:col>
      <xdr:colOff>489858</xdr:colOff>
      <xdr:row>13</xdr:row>
      <xdr:rowOff>68036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EB0447C6-A347-2DB4-5CF6-507D652ACB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53132" y="190500"/>
              <a:ext cx="3095626" cy="23540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400050</xdr:colOff>
      <xdr:row>0</xdr:row>
      <xdr:rowOff>0</xdr:rowOff>
    </xdr:from>
    <xdr:to>
      <xdr:col>16</xdr:col>
      <xdr:colOff>95250</xdr:colOff>
      <xdr:row>13</xdr:row>
      <xdr:rowOff>76200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BA1A2FA7-9FFC-43E2-2BE5-7DEB4EDC03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06200" y="0"/>
              <a:ext cx="4572000" cy="2552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1</xdr:row>
      <xdr:rowOff>4762</xdr:rowOff>
    </xdr:from>
    <xdr:to>
      <xdr:col>12</xdr:col>
      <xdr:colOff>600075</xdr:colOff>
      <xdr:row>10</xdr:row>
      <xdr:rowOff>171450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6BA840FC-7349-11DA-1088-BEB6EAC6ECD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25025" y="195262"/>
              <a:ext cx="2362200" cy="18811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1</xdr:row>
      <xdr:rowOff>19050</xdr:rowOff>
    </xdr:from>
    <xdr:to>
      <xdr:col>10</xdr:col>
      <xdr:colOff>28575</xdr:colOff>
      <xdr:row>11</xdr:row>
      <xdr:rowOff>180975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A57742A4-5B60-BA8D-B9DF-0DA2804468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10800" y="209550"/>
              <a:ext cx="2952750" cy="2066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2C9AF7-D44B-4008-8D63-B98B153D1BE9}" name="msme_keys" displayName="msme_keys" ref="A1:L40" totalsRowShown="0">
  <autoFilter ref="A1:L40" xr:uid="{942C9AF7-D44B-4008-8D63-B98B153D1BE9}"/>
  <tableColumns count="12">
    <tableColumn id="1" xr3:uid="{56B2C58B-6B03-414A-8B31-67EA638BA2ED}" name="msme_id"/>
    <tableColumn id="2" xr3:uid="{19B884FD-71E1-485F-B14A-9813917D2983}" name="skillgap_id"/>
    <tableColumn id="3" xr3:uid="{A15D6F58-ECD3-4C05-9F18-E079CE6129A8}" name="msme_sector_id"/>
    <tableColumn id="4" xr3:uid="{1EF886FD-FB4D-4D4A-B8AB-767BF9A64E31}" name="market_channel_id"/>
    <tableColumn id="5" xr3:uid="{0B71FE3C-2766-4F46-8FDD-DA1D3AC30D0A}" name="msme_state_id"/>
    <tableColumn id="6" xr3:uid="{F382575C-12F9-460F-8EFA-EED0322E5C1E}" name="promotion_id"/>
    <tableColumn id="7" xr3:uid="{4511EE36-B3B2-4A05-B974-688EC8AC64EE}" name="performance_id"/>
    <tableColumn id="8" xr3:uid="{C68AACAC-2CCE-477E-B585-34ECAE4A0FED}" name="average_customers_id"/>
    <tableColumn id="9" xr3:uid="{CC4B9FAD-D327-4107-8BFC-CF78C65246FA}" name="major_challenges_id"/>
    <tableColumn id="10" xr3:uid="{13A46A85-5F35-449D-AB6C-F8786E3E6680}" name="ownership_id"/>
    <tableColumn id="11" xr3:uid="{1F90D70D-744E-485E-AFF6-80486535D6ED}" name="experience_id"/>
    <tableColumn id="12" xr3:uid="{E5D3332D-5D54-439A-9E58-5D44DB3365DE}" name="monthly_sales_id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7D3FCEF-098C-4DEF-A62C-81444877FD8B}" name="msme_state" displayName="msme_state" ref="A2:P39" totalsRowShown="0">
  <autoFilter ref="A2:P39" xr:uid="{37D3FCEF-098C-4DEF-A62C-81444877FD8B}"/>
  <tableColumns count="16">
    <tableColumn id="1" xr3:uid="{63326E6C-A5A0-45FB-A155-19DAC1C9810C}" name="msme_state_id"/>
    <tableColumn id="2" xr3:uid="{03ACA4CD-5AEF-4EC4-83B1-AA2179AEDF46}" name="State"/>
    <tableColumn id="3" xr3:uid="{C7035D2D-A191-4B16-84AA-EC0372A68810}" name="Country"/>
    <tableColumn id="4" xr3:uid="{9DAC568B-BA31-4C97-A955-DCACF1C12011}" name="Zip Code"/>
    <tableColumn id="5" xr3:uid="{C8BA4E5D-D087-44AA-90FD-0F75DC0701C4}" name="Region"/>
    <tableColumn id="6" xr3:uid="{A7550A4B-F47F-4157-9630-F269D8B6BA61}" name="Micro(2020)"/>
    <tableColumn id="7" xr3:uid="{CDAB8EE4-021A-4215-ACDD-4FD684179837}" name="Micro(2017)" dataDxfId="40"/>
    <tableColumn id="8" xr3:uid="{8F4B0D45-0D27-4C82-85C6-DE9764AF2917}" name="Micro(2013)"/>
    <tableColumn id="9" xr3:uid="{70AB715E-E71F-4B1D-89E9-4C040CCEB236}" name="Small(2020)"/>
    <tableColumn id="10" xr3:uid="{9D15D581-271A-4316-ADB2-68A64C161B81}" name="Small(2017)"/>
    <tableColumn id="11" xr3:uid="{25487F1B-5BBB-495A-A3DF-472D16E25CCC}" name="Small(2013)"/>
    <tableColumn id="12" xr3:uid="{F22BD12E-6A86-49BD-9988-982686AF8722}" name="Small(2010)"/>
    <tableColumn id="13" xr3:uid="{0AD8BAE1-3303-40BC-B730-BD9341D23CD5}" name="Medium(2020)"/>
    <tableColumn id="14" xr3:uid="{C1F5501F-74BA-45DE-B993-5C2DBBC7B365}" name="Medium(2017)"/>
    <tableColumn id="15" xr3:uid="{19909850-E6FA-4F50-9C4E-F0A4D39FFF9C}" name="Medium(2013)"/>
    <tableColumn id="16" xr3:uid="{DB72B2C7-5A72-42D4-9281-DFE0B0E8CCE9}" name="Medium(2010)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1664E5C1-3574-42E4-BAD4-5123CE1C2785}" name="msme_sector" displayName="msme_sector" ref="A2:G21" totalsRowShown="0">
  <autoFilter ref="A2:G21" xr:uid="{1664E5C1-3574-42E4-BAD4-5123CE1C2785}"/>
  <tableColumns count="7">
    <tableColumn id="1" xr3:uid="{4A311D66-B9D8-4035-8AD7-BBBFDD06EC47}" name="msme_sector_id"/>
    <tableColumn id="2" xr3:uid="{6819EF2B-33EB-42C4-B796-5E7883B17198}" name="sales_sector_id"/>
    <tableColumn id="3" xr3:uid="{B2F77F54-14B7-484A-A528-9DBD21E02825}" name="Sector"/>
    <tableColumn id="4" xr3:uid="{452FBEEA-595B-4E6A-9BD8-D115FF5EE35F}" name="Micro(2017)"/>
    <tableColumn id="5" xr3:uid="{DB21F2E3-7713-4B29-B726-A9F9A95C0C7C}" name="Micro(2013)"/>
    <tableColumn id="6" xr3:uid="{17B8FF3A-ED69-4380-A8BC-BA664E2333B2}" name="Small(2017)"/>
    <tableColumn id="7" xr3:uid="{C292D686-4534-4A10-BD2C-2539BE23E215}" name="Medium(2017)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B3BDE31-A204-470C-BDD6-82776E1266C3}" name="employee_by_state" displayName="employee_by_state" ref="A2:P39" totalsRowShown="0" headerRowDxfId="39" dataDxfId="38">
  <autoFilter ref="A2:P39" xr:uid="{0B3BDE31-A204-470C-BDD6-82776E1266C3}"/>
  <tableColumns count="16">
    <tableColumn id="1" xr3:uid="{B28FE4AA-D84E-4367-A9FA-CE89305E006B}" name="employee_state_id" dataDxfId="37"/>
    <tableColumn id="2" xr3:uid="{8FEE2E8E-5B38-4973-8FC1-8DD5B9DF8D44}" name="employee_qualification_id" dataDxfId="36"/>
    <tableColumn id="3" xr3:uid="{20407BD8-8A7F-4D48-BF44-B6FE546EBEF7}" name="State" dataDxfId="35"/>
    <tableColumn id="4" xr3:uid="{84585EEC-5F5F-4A95-959A-61D082207446}" name="Country" dataDxfId="34"/>
    <tableColumn id="5" xr3:uid="{3DEC2B63-16D4-49C9-BEB6-6D4BEF0F364D}" name="Zip Code" dataDxfId="33"/>
    <tableColumn id="6" xr3:uid="{3B0ED63F-2733-433C-9D73-FA4A7EE42D37}" name="Region" dataDxfId="32"/>
    <tableColumn id="7" xr3:uid="{68A39278-DBC2-4BA9-A15A-C2B688F4332F}" name="Male(Micro)" dataDxfId="31"/>
    <tableColumn id="8" xr3:uid="{7AF5A82F-2D18-45A5-A9AC-1737ECB9FA54}" name="Female(Micro)" dataDxfId="30"/>
    <tableColumn id="9" xr3:uid="{93C1ECA7-471F-4D62-980A-AA97FBE40DCB}" name="Male (2020)" dataDxfId="29"/>
    <tableColumn id="10" xr3:uid="{05D6CC17-2DCF-4182-A8B1-75C0C9821802}" name="Female(2020)" dataDxfId="28"/>
    <tableColumn id="11" xr3:uid="{AD32321F-7E68-4E07-9D55-AB04C8E5E141}" name="Male(2017)" dataDxfId="27"/>
    <tableColumn id="12" xr3:uid="{A766DBFF-5D25-4EAC-BBA9-55A455D842D5}" name="Female(2017)" dataDxfId="26"/>
    <tableColumn id="13" xr3:uid="{1AD3F334-123F-43DF-84C8-FF32A24BC51B}" name="Male(2013)" dataDxfId="25"/>
    <tableColumn id="14" xr3:uid="{268FA830-D392-4362-8232-1F22B99145EB}" name="Female(2013)" dataDxfId="24"/>
    <tableColumn id="15" xr3:uid="{BFDFF72D-ACF1-414B-B09E-3B2973B321D0}" name="Male(2010)" dataDxfId="23"/>
    <tableColumn id="16" xr3:uid="{A72DBF2D-3BD7-488A-B7C0-3D48644A35B6}" name="Female(2010)" dataDxfId="22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D2047648-0D17-4D92-B3E1-A529A3FABE28}" name="employment_by_sector" displayName="employment_by_sector" ref="A2:K18" totalsRowShown="0">
  <autoFilter ref="A2:K18" xr:uid="{D2047648-0D17-4D92-B3E1-A529A3FABE28}"/>
  <tableColumns count="11">
    <tableColumn id="1" xr3:uid="{77F03966-B233-44AA-ABCB-0242C4AC80F0}" name="employment_sector_id"/>
    <tableColumn id="2" xr3:uid="{BB5691AD-9C3A-4863-AF73-03043052F225}" name="employee_qualification_id"/>
    <tableColumn id="3" xr3:uid="{14CEBE61-A6F6-4D2D-8DA5-3E270B19CBD5}" name="Employment by Sector"/>
    <tableColumn id="4" xr3:uid="{FF144CA2-AF45-44A4-9A67-D1C31FF1373B}" name="Male(Micro)"/>
    <tableColumn id="5" xr3:uid="{B6B087AD-70D7-4A6A-89C3-ADE53D8729A8}" name="Female(Micro)"/>
    <tableColumn id="6" xr3:uid="{D4004244-6161-4C81-9E8A-E007850E940F}" name="Male(2020)"/>
    <tableColumn id="7" xr3:uid="{9CA6A4C8-398B-4EB4-BED7-F0FA02650B8A}" name="Female(2020)"/>
    <tableColumn id="8" xr3:uid="{835CA65B-44AF-44B9-A388-AAF90BCAA0B7}" name="Male(2017)"/>
    <tableColumn id="9" xr3:uid="{53F42638-925D-4B1B-9815-A567A3A0DDC6}" name="Female(2017)"/>
    <tableColumn id="10" xr3:uid="{45572C3E-8140-4D4E-BC5C-E29750A4036A}" name="Male(2013)"/>
    <tableColumn id="11" xr3:uid="{E15BE548-D8FD-40BE-B924-2C8109513097}" name="Female(2013)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E1A4C119-8876-4C97-90D4-0B6332D07C75}" name="employee_qulification" displayName="employee_qulification" ref="A2:E22" totalsRowShown="0">
  <autoFilter ref="A2:E22" xr:uid="{E1A4C119-8876-4C97-90D4-0B6332D07C75}"/>
  <tableColumns count="5">
    <tableColumn id="1" xr3:uid="{43730B01-80EB-4126-823D-3FAA875AD66F}" name="employee_qualification_id"/>
    <tableColumn id="2" xr3:uid="{173370EB-5978-4B0E-A6C2-B120D812B0E1}" name="Sector"/>
    <tableColumn id="3" xr3:uid="{7966E023-13A7-4EF5-8F5D-81A6CD3780A4}" name="Gender"/>
    <tableColumn id="4" xr3:uid="{3ABAEB9C-22C2-4DE9-8AC7-73D8FBE3E599}" name="Enterprises(2020)"/>
    <tableColumn id="5" xr3:uid="{B3C06F7C-BE8E-4A65-96BE-1B6DF7FEA2F2}" name="Enterprises(2017)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7148B0C-74E6-40B3-9BB0-157A25375447}" name="experience" displayName="experience" ref="A2:D8" totalsRowShown="0">
  <autoFilter ref="A2:D8" xr:uid="{57148B0C-74E6-40B3-9BB0-157A25375447}"/>
  <tableColumns count="4">
    <tableColumn id="1" xr3:uid="{C5C31CD4-B1F7-4ECA-8394-3472EC570A16}" name="experience_id"/>
    <tableColumn id="2" xr3:uid="{24465A66-7267-4815-A48D-707119A9B45F}" name="Sector"/>
    <tableColumn id="3" xr3:uid="{EC1FE643-F050-461A-B3A8-133C1E275055}" name="Enterprises(2020)"/>
    <tableColumn id="4" xr3:uid="{6D3705CC-16B0-4174-9AAB-087D36925293}" name="Enterprises(2017)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5000154-8E9D-4BF0-B69B-80E80BEC014D}" name="skill_gap" displayName="skill_gap" ref="A2:F18" totalsRowShown="0">
  <autoFilter ref="A2:F18" xr:uid="{15000154-8E9D-4BF0-B69B-80E80BEC014D}"/>
  <tableColumns count="6">
    <tableColumn id="1" xr3:uid="{0CD3B863-DED5-4E57-87BB-34ABF3FEEDF1}" name="skillgap_id"/>
    <tableColumn id="2" xr3:uid="{D8FFF48D-D55A-4300-AC8A-04B95C895ED5}" name="Sector"/>
    <tableColumn id="3" xr3:uid="{808A122A-D33C-4A87-BE49-47D355419EFF}" name="Qualified Artisans Readily Available (Micro)"/>
    <tableColumn id="4" xr3:uid="{10F21424-DCCF-4AC9-B40E-7E0A00B2AC4C}" name="Qualified Artisans Not Readily Available(Micro)"/>
    <tableColumn id="5" xr3:uid="{33DFDC49-4DEF-4E67-A1D1-EEB8E89DD544}" name="Qualified Artisans Readily Available (SME)"/>
    <tableColumn id="6" xr3:uid="{A5F702E7-09CE-462B-BFF2-238A55E16211}" name="Qualified Artisans Not Readily Available (SME)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36EA4A39-C88E-43B7-A62C-3831F6960C2D}" name="promotion" displayName="promotion" ref="A2:E10" totalsRowShown="0">
  <autoFilter ref="A2:E10" xr:uid="{36EA4A39-C88E-43B7-A62C-3831F6960C2D}"/>
  <tableColumns count="5">
    <tableColumn id="1" xr3:uid="{68388A8E-DCAC-46F7-80BE-D947B74C9A0C}" name="promotion_id"/>
    <tableColumn id="2" xr3:uid="{89D8479E-9C10-4290-801E-E68D022CA2AD}" name="Promotional Channels by Enterprise"/>
    <tableColumn id="3" xr3:uid="{5830695B-6741-4DC4-8D06-2DA892620B8A}" name="Microenterprise"/>
    <tableColumn id="4" xr3:uid="{7311389C-07EC-4BC9-B9F1-C0BFD97A67B5}" name="SME (2020)"/>
    <tableColumn id="5" xr3:uid="{9EFD3EB4-5C05-4790-972A-DE20A21D641E}" name="SME (2017)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B1E0CD14-86FA-4329-B4EC-ED43C71B37A9}" name="market_channel" displayName="market_channel" ref="A2:E9" totalsRowShown="0">
  <autoFilter ref="A2:E9" xr:uid="{B1E0CD14-86FA-4329-B4EC-ED43C71B37A9}"/>
  <tableColumns count="5">
    <tableColumn id="1" xr3:uid="{DB70CA82-B0D6-4C04-AD38-A03C13B57ED5}" name="market_channel_id"/>
    <tableColumn id="2" xr3:uid="{B8E2B6B6-AE4E-4FC3-922C-25BA3BD1EA3E}" name="e_commerce_id"/>
    <tableColumn id="3" xr3:uid="{4A515117-4D51-4D20-936B-94856F05ACC7}" name="Product Market Channel"/>
    <tableColumn id="4" xr3:uid="{7ACFC890-C11B-4A73-882E-38861AB82FA5}" name="Enterprises(2020)"/>
    <tableColumn id="5" xr3:uid="{0DAF8206-509C-46C6-9A2D-18C95A258B70}" name="Enterprises(2017)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8473284-C02E-426E-81DF-A38D5DC19A45}" name="e_commerce" displayName="e_commerce" ref="A2:E18" totalsRowShown="0">
  <autoFilter ref="A2:E18" xr:uid="{28473284-C02E-426E-81DF-A38D5DC19A45}"/>
  <tableColumns count="5">
    <tableColumn id="1" xr3:uid="{8A2590B7-8B9A-4030-B738-4618EB9D1FEF}" name="e_commerce_id"/>
    <tableColumn id="2" xr3:uid="{26ADC288-970A-42EE-8CA6-D9124E0B35EA}" name="E-Commerce by Sector"/>
    <tableColumn id="3" xr3:uid="{5A208A17-479D-4EC2-9751-16ADEA9C65A7}" name="Microenterprise"/>
    <tableColumn id="4" xr3:uid="{69F8992A-690A-43A0-AA91-29C3483229BE}" name="SME (2020)"/>
    <tableColumn id="5" xr3:uid="{632C75A6-4A34-43D8-9419-6D77A9CB0C10}" name="Overall Number Of Enterprises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E4F03D40-2C0B-41C4-BCDC-C161DD88AF0C}" name="average_customers" displayName="average_customers" ref="A2:D9" totalsRowShown="0">
  <autoFilter ref="A2:D9" xr:uid="{E4F03D40-2C0B-41C4-BCDC-C161DD88AF0C}"/>
  <tableColumns count="4">
    <tableColumn id="1" xr3:uid="{0006A394-2639-4C06-A575-A33AFEFC5821}" name="average_customers_id"/>
    <tableColumn id="2" xr3:uid="{381B01FA-61CE-4680-9C8A-309A6B13971E}" name="Customers"/>
    <tableColumn id="3" xr3:uid="{B67B4745-6227-46EB-889B-110F705B3370}" name="Enterprises (2020)"/>
    <tableColumn id="4" xr3:uid="{199F653F-117A-4ADB-A0F9-986F0F613630}" name="Enterprises (2017)"/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A4216963-FEF8-450B-9799-313143239995}" name="performance" displayName="performance" ref="A2:F6" totalsRowShown="0">
  <autoFilter ref="A2:F6" xr:uid="{A4216963-FEF8-450B-9799-313143239995}"/>
  <tableColumns count="6">
    <tableColumn id="1" xr3:uid="{48987118-E4B8-45D3-AA61-73EC13589077}" name="promotion_id"/>
    <tableColumn id="2" xr3:uid="{A89AA192-D888-4630-AB36-B063BD6CB3DD}" name="Severity"/>
    <tableColumn id="3" xr3:uid="{ACA97508-CDF9-4D81-97C4-11427F4E33B2}" name="Enterprises (2019 &amp; 2020)"/>
    <tableColumn id="4" xr3:uid="{0248E5D1-DF66-452E-8950-9D07D8507F33}" name="Enterprises  (2018 &amp; 2019)"/>
    <tableColumn id="5" xr3:uid="{858504FC-50F5-4B16-BE73-67D1F382EE3C}" name="Enterprises (2016, &amp; 2017)"/>
    <tableColumn id="6" xr3:uid="{824B8220-9013-4644-A1D7-5FB538BA3DEB}" name="Enterprises (2015 &amp; 2016)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4CF7B42-61F8-4626-AB06-C1B22D54E54A}" name="major_challenges" displayName="major_challenges" ref="A2:E10" totalsRowShown="0">
  <autoFilter ref="A2:E10" xr:uid="{E4CF7B42-61F8-4626-AB06-C1B22D54E54A}"/>
  <tableColumns count="5">
    <tableColumn id="1" xr3:uid="{E99ADAED-C20A-461E-A50B-D4E9B0D08078}" name="major_challenges_id"/>
    <tableColumn id="2" xr3:uid="{C06FD26F-48A4-4F2B-B5A0-CE3152740811}" name="Challenges"/>
    <tableColumn id="3" xr3:uid="{8DBE3CB2-6B16-47E5-B180-E1FF2CB8815C}" name="Microenterprise(2020)"/>
    <tableColumn id="4" xr3:uid="{F1210379-2667-4603-A582-46A4343F813F}" name="Microenterprise(2017)"/>
    <tableColumn id="5" xr3:uid="{4A3AEBDD-16CD-42A3-9DB4-5E1596797155}" name="SME(2020)"/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DDCECCCC-AC68-47E1-B6E4-B8104A7CF744}" name="smedan_aware" displayName="smedan_aware" ref="A2:F8" totalsRowShown="0">
  <autoFilter ref="A2:F8" xr:uid="{DDCECCCC-AC68-47E1-B6E4-B8104A7CF744}"/>
  <tableColumns count="6">
    <tableColumn id="1" xr3:uid="{C85D2917-0C76-4F4A-BAAD-3B4AF00D98CA}" name="smedan_aware_id"/>
    <tableColumn id="2" xr3:uid="{7AA67FC1-51DE-4360-A669-7FC0878DFBC3}" name="smedan_aware_state_id"/>
    <tableColumn id="3" xr3:uid="{EE22D126-AE4E-4A79-AD9E-EC24D4A27392}" name="Sector"/>
    <tableColumn id="4" xr3:uid="{E008D729-6CFA-42FC-997F-9DEBC6F73F9F}" name="Microenterprise(2020)"/>
    <tableColumn id="5" xr3:uid="{F2E0A678-278B-42E1-91FD-A659581F46E6}" name="Mcroenterprise(2017)"/>
    <tableColumn id="6" xr3:uid="{37F873D4-1D3D-4ADE-8F00-5141A30E840E}" name="SME(2020)"/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DB2FEC43-5F5D-4308-983F-22B8FE599538}" name="smedan_state" displayName="smedan_state" ref="A2:F39" totalsRowShown="0">
  <autoFilter ref="A2:F39" xr:uid="{DB2FEC43-5F5D-4308-983F-22B8FE599538}"/>
  <tableColumns count="6">
    <tableColumn id="1" xr3:uid="{DD32E87B-E695-41A5-AD53-FB8369584B38}" name="smedan_aware_state_id"/>
    <tableColumn id="2" xr3:uid="{C8E7D431-1ECD-4866-BE3A-C504639A95B3}" name="Sector"/>
    <tableColumn id="3" xr3:uid="{9888C2B0-8BA9-423D-A185-7D923F6CAA8C}" name="Country"/>
    <tableColumn id="4" xr3:uid="{AEC7F141-8E48-4814-9F5A-3A14C0A8C29C}" name="Zip Code"/>
    <tableColumn id="5" xr3:uid="{505B18F8-1641-41A9-ADD5-46F6878D8261}" name="Region"/>
    <tableColumn id="6" xr3:uid="{6A24DD60-5330-4305-ACCC-8A7CF4332F90}" name="Aware(Micro)"/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F10B122-6DD7-43E9-B5BB-C7E465B2C9E8}" name="monthly_sales" displayName="monthly_sales" ref="A2:F14" totalsRowShown="0">
  <autoFilter ref="A2:F14" xr:uid="{0F10B122-6DD7-43E9-B5BB-C7E465B2C9E8}"/>
  <tableColumns count="6">
    <tableColumn id="1" xr3:uid="{3755FC2A-5AC0-4A10-A341-AB990922E66A}" name="monthly_sales_id"/>
    <tableColumn id="2" xr3:uid="{06C97903-675C-44FC-96FE-8358835663B3}" name="Average Monthly Sales"/>
    <tableColumn id="3" xr3:uid="{5FD89E91-73D3-45BB-807D-7D4354B6D15A}" name="Microenterprise 2012"/>
    <tableColumn id="4" xr3:uid="{9A815D94-7DBF-46E0-B94A-CE85AECEBE30}" name="Microenterprise 2013"/>
    <tableColumn id="5" xr3:uid="{277E938A-3135-4674-B4D2-20E0004B02ED}" name="SME 2020"/>
    <tableColumn id="6" xr3:uid="{BC3B44AF-C1CA-40B5-ABD8-5CCB60328E4C}" name="SME 2017"/>
  </tableColumns>
  <tableStyleInfo name="TableStyleMedium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423EE6DC-0C64-4ABB-9A7E-48D63EE1ED8F}" name="sales_by_sector" displayName="sales_by_sector" ref="A2:F18" totalsRowShown="0">
  <autoFilter ref="A2:F18" xr:uid="{423EE6DC-0C64-4ABB-9A7E-48D63EE1ED8F}"/>
  <tableColumns count="6">
    <tableColumn id="1" xr3:uid="{EE4E15A6-0572-46DD-9882-8DEBCC43B08E}" name="sales_sector_id"/>
    <tableColumn id="2" xr3:uid="{A10453E8-02C3-4F1F-A6C5-F73057114AAD}" name="Average Monthly Sales by Sector"/>
    <tableColumn id="3" xr3:uid="{D93A704E-0B87-4785-8745-F66FEEB9726A}" name="Microenterprise 2012"/>
    <tableColumn id="4" xr3:uid="{3789D0C0-A0A6-4578-B841-545B8FC3F799}" name="Microenterprise 2013"/>
    <tableColumn id="5" xr3:uid="{625819C0-A2D1-4AEF-AD16-D645393AE224}" name="SME 2017"/>
    <tableColumn id="6" xr3:uid="{6C9B9829-A2A1-474B-8B6F-BBEC9A0A900C}" name="SME 2013"/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FE36AC69-CB6A-4757-B17D-B43EC4B2F5FF}" name="owner_qualification" displayName="owner_qualification" ref="A2:C12" totalsRowShown="0">
  <autoFilter ref="A2:C12" xr:uid="{FE36AC69-CB6A-4757-B17D-B43EC4B2F5FF}"/>
  <tableColumns count="3">
    <tableColumn id="1" xr3:uid="{FBBFFCC8-C6CF-4E13-98F5-49637C669E1C}" name="ownership_qualification_id"/>
    <tableColumn id="2" xr3:uid="{3C73BA6E-C86E-45FB-BFBF-79E4AFCD5AED}" name="Educational Qualifications of Owners"/>
    <tableColumn id="3" xr3:uid="{12EBC649-79CC-4B9E-8A30-B7B0D1588A99}" name="Number of Owners"/>
  </tableColumns>
  <tableStyleInfo name="TableStyleMedium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B0F9AAC0-728A-472C-8503-5AB72EDCE1B5}" name="ownership" displayName="ownership" ref="A2:G18" totalsRowShown="0">
  <autoFilter ref="A2:G18" xr:uid="{B0F9AAC0-728A-472C-8503-5AB72EDCE1B5}"/>
  <tableColumns count="7">
    <tableColumn id="1" xr3:uid="{AA226335-CB7A-4114-A09B-366251EE7BB1}" name="ownership_id"/>
    <tableColumn id="2" xr3:uid="{23F358DE-DEF5-47D7-9041-5E76D2A6EB74}" name="ownership_qualification_id"/>
    <tableColumn id="3" xr3:uid="{79AF9CFC-0499-43DA-BE8F-F2FD38C0888A}" name="Sector by Ownership, Gender"/>
    <tableColumn id="4" xr3:uid="{BC189D81-9EFF-4EC9-ADFB-CE188CA5CA40}" name="Male(2017)"/>
    <tableColumn id="5" xr3:uid="{2A81ABE0-AC84-4BCC-8FDD-E4A0FC5E27FB}" name="Female(2017)"/>
    <tableColumn id="6" xr3:uid="{913BC416-6590-458F-8E78-BEE63DD13A3F}" name="Male(2013)"/>
    <tableColumn id="7" xr3:uid="{260BD938-1FC9-4C79-A8AE-2FAEC6A70AE0}" name="Female(2013)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C270E-48FD-4F9C-B7B8-FC0C38A2F87D}">
  <sheetPr codeName="Sheet3"/>
  <dimension ref="A1:L40"/>
  <sheetViews>
    <sheetView topLeftCell="B1" workbookViewId="0">
      <selection activeCell="C15" sqref="C15"/>
    </sheetView>
  </sheetViews>
  <sheetFormatPr defaultRowHeight="15" x14ac:dyDescent="0.25"/>
  <cols>
    <col min="1" max="1" width="11.28515625" customWidth="1"/>
    <col min="2" max="2" width="12.5703125" customWidth="1"/>
    <col min="3" max="3" width="17.7109375" customWidth="1"/>
    <col min="4" max="4" width="20.140625" customWidth="1"/>
    <col min="5" max="5" width="16.7109375" customWidth="1"/>
    <col min="6" max="6" width="15.28515625" customWidth="1"/>
    <col min="7" max="7" width="17.28515625" customWidth="1"/>
    <col min="8" max="8" width="23" customWidth="1"/>
    <col min="9" max="9" width="21.42578125" customWidth="1"/>
    <col min="10" max="10" width="15.28515625" customWidth="1"/>
    <col min="11" max="11" width="15.85546875" customWidth="1"/>
    <col min="12" max="12" width="18.7109375" customWidth="1"/>
  </cols>
  <sheetData>
    <row r="1" spans="1:12" x14ac:dyDescent="0.25">
      <c r="A1" t="s">
        <v>219</v>
      </c>
      <c r="B1" t="s">
        <v>242</v>
      </c>
      <c r="C1" t="s">
        <v>230</v>
      </c>
      <c r="D1" t="s">
        <v>231</v>
      </c>
      <c r="E1" t="s">
        <v>237</v>
      </c>
      <c r="F1" t="s">
        <v>232</v>
      </c>
      <c r="G1" t="s">
        <v>233</v>
      </c>
      <c r="H1" t="s">
        <v>234</v>
      </c>
      <c r="I1" t="s">
        <v>235</v>
      </c>
      <c r="J1" t="s">
        <v>236</v>
      </c>
      <c r="K1" t="s">
        <v>243</v>
      </c>
      <c r="L1" t="s">
        <v>247</v>
      </c>
    </row>
    <row r="2" spans="1:12" x14ac:dyDescent="0.25">
      <c r="A2">
        <v>1</v>
      </c>
      <c r="B2">
        <v>41</v>
      </c>
      <c r="C2">
        <v>81</v>
      </c>
      <c r="D2">
        <v>161</v>
      </c>
      <c r="E2">
        <v>201</v>
      </c>
      <c r="F2">
        <v>241</v>
      </c>
      <c r="G2">
        <v>281</v>
      </c>
      <c r="H2">
        <v>321</v>
      </c>
      <c r="I2">
        <v>361</v>
      </c>
      <c r="J2">
        <v>401</v>
      </c>
      <c r="K2">
        <v>641</v>
      </c>
      <c r="L2">
        <v>761</v>
      </c>
    </row>
    <row r="3" spans="1:12" x14ac:dyDescent="0.25">
      <c r="A3">
        <v>2</v>
      </c>
      <c r="B3">
        <v>42</v>
      </c>
      <c r="C3">
        <v>82</v>
      </c>
      <c r="D3">
        <v>162</v>
      </c>
      <c r="E3">
        <v>202</v>
      </c>
      <c r="F3">
        <v>242</v>
      </c>
      <c r="G3">
        <v>282</v>
      </c>
      <c r="H3">
        <v>322</v>
      </c>
      <c r="I3">
        <v>362</v>
      </c>
      <c r="J3">
        <v>402</v>
      </c>
      <c r="K3">
        <v>642</v>
      </c>
      <c r="L3">
        <v>762</v>
      </c>
    </row>
    <row r="4" spans="1:12" x14ac:dyDescent="0.25">
      <c r="A4">
        <v>3</v>
      </c>
      <c r="B4">
        <v>43</v>
      </c>
      <c r="C4">
        <v>83</v>
      </c>
      <c r="D4">
        <v>163</v>
      </c>
      <c r="E4">
        <v>203</v>
      </c>
      <c r="F4">
        <v>243</v>
      </c>
      <c r="G4">
        <v>283</v>
      </c>
      <c r="H4">
        <v>323</v>
      </c>
      <c r="I4">
        <v>363</v>
      </c>
      <c r="J4">
        <v>403</v>
      </c>
      <c r="K4">
        <v>643</v>
      </c>
      <c r="L4">
        <v>763</v>
      </c>
    </row>
    <row r="5" spans="1:12" x14ac:dyDescent="0.25">
      <c r="A5">
        <v>4</v>
      </c>
      <c r="B5">
        <v>44</v>
      </c>
      <c r="C5">
        <v>84</v>
      </c>
      <c r="D5">
        <v>164</v>
      </c>
      <c r="E5">
        <v>204</v>
      </c>
      <c r="F5">
        <v>244</v>
      </c>
      <c r="G5">
        <v>284</v>
      </c>
      <c r="H5">
        <v>324</v>
      </c>
      <c r="I5">
        <v>364</v>
      </c>
      <c r="J5">
        <v>404</v>
      </c>
      <c r="K5">
        <v>644</v>
      </c>
      <c r="L5">
        <v>764</v>
      </c>
    </row>
    <row r="6" spans="1:12" x14ac:dyDescent="0.25">
      <c r="A6">
        <v>5</v>
      </c>
      <c r="B6">
        <v>45</v>
      </c>
      <c r="C6">
        <v>85</v>
      </c>
      <c r="D6">
        <v>165</v>
      </c>
      <c r="E6">
        <v>205</v>
      </c>
      <c r="F6">
        <v>245</v>
      </c>
      <c r="G6">
        <v>285</v>
      </c>
      <c r="H6">
        <v>325</v>
      </c>
      <c r="I6">
        <v>365</v>
      </c>
      <c r="J6">
        <v>405</v>
      </c>
      <c r="K6">
        <v>645</v>
      </c>
      <c r="L6">
        <v>765</v>
      </c>
    </row>
    <row r="7" spans="1:12" x14ac:dyDescent="0.25">
      <c r="A7">
        <v>6</v>
      </c>
      <c r="B7">
        <v>46</v>
      </c>
      <c r="C7">
        <v>86</v>
      </c>
      <c r="D7">
        <v>166</v>
      </c>
      <c r="E7">
        <v>206</v>
      </c>
      <c r="F7">
        <v>246</v>
      </c>
      <c r="G7">
        <v>286</v>
      </c>
      <c r="H7">
        <v>326</v>
      </c>
      <c r="I7">
        <v>366</v>
      </c>
      <c r="J7">
        <v>406</v>
      </c>
      <c r="K7">
        <v>646</v>
      </c>
      <c r="L7">
        <v>766</v>
      </c>
    </row>
    <row r="8" spans="1:12" x14ac:dyDescent="0.25">
      <c r="A8">
        <v>7</v>
      </c>
      <c r="B8">
        <v>47</v>
      </c>
      <c r="C8">
        <v>87</v>
      </c>
      <c r="D8">
        <v>167</v>
      </c>
      <c r="E8">
        <v>207</v>
      </c>
      <c r="F8">
        <v>247</v>
      </c>
      <c r="G8">
        <v>287</v>
      </c>
      <c r="H8">
        <v>327</v>
      </c>
      <c r="I8">
        <v>367</v>
      </c>
      <c r="J8">
        <v>407</v>
      </c>
      <c r="K8">
        <v>647</v>
      </c>
      <c r="L8">
        <v>767</v>
      </c>
    </row>
    <row r="9" spans="1:12" x14ac:dyDescent="0.25">
      <c r="A9">
        <v>8</v>
      </c>
      <c r="B9">
        <v>48</v>
      </c>
      <c r="C9">
        <v>88</v>
      </c>
      <c r="D9">
        <v>168</v>
      </c>
      <c r="E9">
        <v>208</v>
      </c>
      <c r="F9">
        <v>248</v>
      </c>
      <c r="G9">
        <v>288</v>
      </c>
      <c r="H9">
        <v>328</v>
      </c>
      <c r="I9">
        <v>368</v>
      </c>
      <c r="J9">
        <v>408</v>
      </c>
      <c r="K9">
        <v>648</v>
      </c>
      <c r="L9">
        <v>768</v>
      </c>
    </row>
    <row r="10" spans="1:12" x14ac:dyDescent="0.25">
      <c r="A10">
        <v>9</v>
      </c>
      <c r="B10">
        <v>49</v>
      </c>
      <c r="C10">
        <v>89</v>
      </c>
      <c r="D10">
        <v>169</v>
      </c>
      <c r="E10">
        <v>209</v>
      </c>
      <c r="F10">
        <v>249</v>
      </c>
      <c r="G10">
        <v>289</v>
      </c>
      <c r="H10">
        <v>329</v>
      </c>
      <c r="I10">
        <v>369</v>
      </c>
      <c r="J10">
        <v>409</v>
      </c>
      <c r="K10">
        <v>649</v>
      </c>
      <c r="L10">
        <v>769</v>
      </c>
    </row>
    <row r="11" spans="1:12" x14ac:dyDescent="0.25">
      <c r="A11">
        <v>10</v>
      </c>
      <c r="B11">
        <v>50</v>
      </c>
      <c r="C11">
        <v>90</v>
      </c>
      <c r="D11">
        <v>170</v>
      </c>
      <c r="E11">
        <v>210</v>
      </c>
      <c r="F11">
        <v>250</v>
      </c>
      <c r="G11">
        <v>290</v>
      </c>
      <c r="H11">
        <v>330</v>
      </c>
      <c r="I11">
        <v>370</v>
      </c>
      <c r="J11">
        <v>410</v>
      </c>
      <c r="K11">
        <v>650</v>
      </c>
      <c r="L11">
        <v>770</v>
      </c>
    </row>
    <row r="12" spans="1:12" x14ac:dyDescent="0.25">
      <c r="A12">
        <v>11</v>
      </c>
      <c r="B12">
        <v>51</v>
      </c>
      <c r="C12">
        <v>91</v>
      </c>
      <c r="D12">
        <v>171</v>
      </c>
      <c r="E12">
        <v>211</v>
      </c>
      <c r="F12">
        <v>251</v>
      </c>
      <c r="G12">
        <v>291</v>
      </c>
      <c r="H12">
        <v>331</v>
      </c>
      <c r="I12">
        <v>371</v>
      </c>
      <c r="J12">
        <v>411</v>
      </c>
      <c r="K12">
        <v>651</v>
      </c>
      <c r="L12">
        <v>771</v>
      </c>
    </row>
    <row r="13" spans="1:12" x14ac:dyDescent="0.25">
      <c r="A13">
        <v>12</v>
      </c>
      <c r="B13">
        <v>52</v>
      </c>
      <c r="C13">
        <v>92</v>
      </c>
      <c r="D13">
        <v>172</v>
      </c>
      <c r="E13">
        <v>212</v>
      </c>
      <c r="F13">
        <v>252</v>
      </c>
      <c r="G13">
        <v>292</v>
      </c>
      <c r="H13">
        <v>332</v>
      </c>
      <c r="I13">
        <v>372</v>
      </c>
      <c r="J13">
        <v>412</v>
      </c>
      <c r="K13">
        <v>652</v>
      </c>
      <c r="L13">
        <v>772</v>
      </c>
    </row>
    <row r="14" spans="1:12" x14ac:dyDescent="0.25">
      <c r="A14">
        <v>13</v>
      </c>
      <c r="B14">
        <v>53</v>
      </c>
      <c r="C14">
        <v>93</v>
      </c>
      <c r="D14">
        <v>173</v>
      </c>
      <c r="E14">
        <v>213</v>
      </c>
      <c r="F14">
        <v>253</v>
      </c>
      <c r="G14">
        <v>293</v>
      </c>
      <c r="H14">
        <v>333</v>
      </c>
      <c r="I14">
        <v>373</v>
      </c>
      <c r="J14">
        <v>413</v>
      </c>
      <c r="K14">
        <v>653</v>
      </c>
      <c r="L14">
        <v>773</v>
      </c>
    </row>
    <row r="15" spans="1:12" x14ac:dyDescent="0.25">
      <c r="A15">
        <v>14</v>
      </c>
      <c r="B15">
        <v>54</v>
      </c>
      <c r="C15">
        <v>94</v>
      </c>
      <c r="D15">
        <v>174</v>
      </c>
      <c r="E15">
        <v>214</v>
      </c>
      <c r="F15">
        <v>254</v>
      </c>
      <c r="G15">
        <v>294</v>
      </c>
      <c r="H15">
        <v>334</v>
      </c>
      <c r="I15">
        <v>374</v>
      </c>
      <c r="J15">
        <v>414</v>
      </c>
      <c r="K15">
        <v>654</v>
      </c>
      <c r="L15">
        <v>774</v>
      </c>
    </row>
    <row r="16" spans="1:12" x14ac:dyDescent="0.25">
      <c r="A16">
        <v>15</v>
      </c>
      <c r="B16">
        <v>55</v>
      </c>
      <c r="C16">
        <v>95</v>
      </c>
      <c r="D16">
        <v>175</v>
      </c>
      <c r="E16">
        <v>215</v>
      </c>
      <c r="F16">
        <v>255</v>
      </c>
      <c r="G16">
        <v>295</v>
      </c>
      <c r="H16">
        <v>335</v>
      </c>
      <c r="I16">
        <v>375</v>
      </c>
      <c r="J16">
        <v>415</v>
      </c>
      <c r="K16">
        <v>655</v>
      </c>
      <c r="L16">
        <v>775</v>
      </c>
    </row>
    <row r="17" spans="1:12" x14ac:dyDescent="0.25">
      <c r="A17">
        <v>16</v>
      </c>
      <c r="B17">
        <v>56</v>
      </c>
      <c r="C17">
        <v>96</v>
      </c>
      <c r="D17">
        <v>176</v>
      </c>
      <c r="E17">
        <v>216</v>
      </c>
      <c r="F17">
        <v>256</v>
      </c>
      <c r="G17">
        <v>296</v>
      </c>
      <c r="H17">
        <v>336</v>
      </c>
      <c r="I17">
        <v>376</v>
      </c>
      <c r="J17">
        <v>416</v>
      </c>
      <c r="K17">
        <v>656</v>
      </c>
      <c r="L17">
        <v>776</v>
      </c>
    </row>
    <row r="18" spans="1:12" x14ac:dyDescent="0.25">
      <c r="A18">
        <v>17</v>
      </c>
      <c r="B18">
        <v>57</v>
      </c>
      <c r="C18">
        <v>97</v>
      </c>
      <c r="D18">
        <v>177</v>
      </c>
      <c r="E18">
        <v>217</v>
      </c>
      <c r="F18">
        <v>257</v>
      </c>
      <c r="G18">
        <v>297</v>
      </c>
      <c r="H18">
        <v>337</v>
      </c>
      <c r="I18">
        <v>377</v>
      </c>
      <c r="J18">
        <v>417</v>
      </c>
      <c r="K18">
        <v>657</v>
      </c>
      <c r="L18">
        <v>777</v>
      </c>
    </row>
    <row r="19" spans="1:12" x14ac:dyDescent="0.25">
      <c r="A19">
        <v>18</v>
      </c>
      <c r="B19">
        <v>58</v>
      </c>
      <c r="C19">
        <v>98</v>
      </c>
      <c r="D19">
        <v>178</v>
      </c>
      <c r="E19">
        <v>218</v>
      </c>
      <c r="F19">
        <v>258</v>
      </c>
      <c r="G19">
        <v>298</v>
      </c>
      <c r="H19">
        <v>338</v>
      </c>
      <c r="I19">
        <v>378</v>
      </c>
      <c r="J19">
        <v>418</v>
      </c>
      <c r="K19">
        <v>658</v>
      </c>
      <c r="L19">
        <v>778</v>
      </c>
    </row>
    <row r="20" spans="1:12" x14ac:dyDescent="0.25">
      <c r="A20">
        <v>19</v>
      </c>
      <c r="B20">
        <v>59</v>
      </c>
      <c r="C20">
        <v>99</v>
      </c>
      <c r="D20">
        <v>179</v>
      </c>
      <c r="E20">
        <v>219</v>
      </c>
      <c r="F20">
        <v>259</v>
      </c>
      <c r="G20">
        <v>299</v>
      </c>
      <c r="H20">
        <v>339</v>
      </c>
      <c r="I20">
        <v>379</v>
      </c>
      <c r="J20">
        <v>419</v>
      </c>
      <c r="K20">
        <v>659</v>
      </c>
      <c r="L20">
        <v>779</v>
      </c>
    </row>
    <row r="21" spans="1:12" x14ac:dyDescent="0.25">
      <c r="A21">
        <v>20</v>
      </c>
      <c r="B21">
        <v>60</v>
      </c>
      <c r="C21">
        <v>100</v>
      </c>
      <c r="D21">
        <v>180</v>
      </c>
      <c r="E21">
        <v>220</v>
      </c>
      <c r="F21">
        <v>260</v>
      </c>
      <c r="G21">
        <v>300</v>
      </c>
      <c r="H21">
        <v>340</v>
      </c>
      <c r="I21">
        <v>380</v>
      </c>
      <c r="J21">
        <v>420</v>
      </c>
      <c r="K21">
        <v>660</v>
      </c>
      <c r="L21">
        <v>780</v>
      </c>
    </row>
    <row r="22" spans="1:12" x14ac:dyDescent="0.25">
      <c r="A22">
        <v>21</v>
      </c>
      <c r="B22">
        <v>61</v>
      </c>
      <c r="C22">
        <v>101</v>
      </c>
      <c r="D22">
        <v>181</v>
      </c>
      <c r="E22">
        <v>221</v>
      </c>
      <c r="F22">
        <v>261</v>
      </c>
      <c r="G22">
        <v>301</v>
      </c>
      <c r="H22">
        <v>341</v>
      </c>
      <c r="I22">
        <v>381</v>
      </c>
      <c r="J22">
        <v>421</v>
      </c>
      <c r="K22">
        <v>661</v>
      </c>
      <c r="L22">
        <v>781</v>
      </c>
    </row>
    <row r="23" spans="1:12" x14ac:dyDescent="0.25">
      <c r="A23">
        <v>22</v>
      </c>
      <c r="B23">
        <v>62</v>
      </c>
      <c r="C23">
        <v>102</v>
      </c>
      <c r="D23">
        <v>182</v>
      </c>
      <c r="E23">
        <v>222</v>
      </c>
      <c r="F23">
        <v>262</v>
      </c>
      <c r="G23">
        <v>302</v>
      </c>
      <c r="H23">
        <v>342</v>
      </c>
      <c r="I23">
        <v>382</v>
      </c>
      <c r="J23">
        <v>422</v>
      </c>
      <c r="K23">
        <v>662</v>
      </c>
      <c r="L23">
        <v>782</v>
      </c>
    </row>
    <row r="24" spans="1:12" x14ac:dyDescent="0.25">
      <c r="A24">
        <v>23</v>
      </c>
      <c r="B24">
        <v>63</v>
      </c>
      <c r="C24">
        <v>103</v>
      </c>
      <c r="D24">
        <v>183</v>
      </c>
      <c r="E24">
        <v>223</v>
      </c>
      <c r="F24">
        <v>263</v>
      </c>
      <c r="G24">
        <v>303</v>
      </c>
      <c r="H24">
        <v>343</v>
      </c>
      <c r="I24">
        <v>383</v>
      </c>
      <c r="J24">
        <v>423</v>
      </c>
      <c r="K24">
        <v>663</v>
      </c>
      <c r="L24">
        <v>783</v>
      </c>
    </row>
    <row r="25" spans="1:12" x14ac:dyDescent="0.25">
      <c r="A25">
        <v>24</v>
      </c>
      <c r="B25">
        <v>64</v>
      </c>
      <c r="C25">
        <v>104</v>
      </c>
      <c r="D25">
        <v>184</v>
      </c>
      <c r="E25">
        <v>224</v>
      </c>
      <c r="F25">
        <v>264</v>
      </c>
      <c r="G25">
        <v>304</v>
      </c>
      <c r="H25">
        <v>344</v>
      </c>
      <c r="I25">
        <v>384</v>
      </c>
      <c r="J25">
        <v>424</v>
      </c>
      <c r="K25">
        <v>664</v>
      </c>
      <c r="L25">
        <v>784</v>
      </c>
    </row>
    <row r="26" spans="1:12" x14ac:dyDescent="0.25">
      <c r="A26">
        <v>25</v>
      </c>
      <c r="B26">
        <v>65</v>
      </c>
      <c r="C26">
        <v>105</v>
      </c>
      <c r="D26">
        <v>185</v>
      </c>
      <c r="E26">
        <v>225</v>
      </c>
      <c r="F26">
        <v>265</v>
      </c>
      <c r="G26">
        <v>305</v>
      </c>
      <c r="H26">
        <v>345</v>
      </c>
      <c r="I26">
        <v>385</v>
      </c>
      <c r="J26">
        <v>425</v>
      </c>
      <c r="K26">
        <v>665</v>
      </c>
      <c r="L26">
        <v>785</v>
      </c>
    </row>
    <row r="27" spans="1:12" x14ac:dyDescent="0.25">
      <c r="A27">
        <v>26</v>
      </c>
      <c r="B27">
        <v>66</v>
      </c>
      <c r="C27">
        <v>106</v>
      </c>
      <c r="D27">
        <v>186</v>
      </c>
      <c r="E27">
        <v>226</v>
      </c>
      <c r="F27">
        <v>266</v>
      </c>
      <c r="G27">
        <v>306</v>
      </c>
      <c r="H27">
        <v>346</v>
      </c>
      <c r="I27">
        <v>386</v>
      </c>
      <c r="J27">
        <v>426</v>
      </c>
      <c r="K27">
        <v>666</v>
      </c>
      <c r="L27">
        <v>786</v>
      </c>
    </row>
    <row r="28" spans="1:12" x14ac:dyDescent="0.25">
      <c r="A28">
        <v>27</v>
      </c>
      <c r="B28">
        <v>67</v>
      </c>
      <c r="C28">
        <v>107</v>
      </c>
      <c r="D28">
        <v>187</v>
      </c>
      <c r="E28">
        <v>227</v>
      </c>
      <c r="F28">
        <v>267</v>
      </c>
      <c r="G28">
        <v>307</v>
      </c>
      <c r="H28">
        <v>347</v>
      </c>
      <c r="I28">
        <v>387</v>
      </c>
      <c r="J28">
        <v>427</v>
      </c>
      <c r="K28">
        <v>667</v>
      </c>
      <c r="L28">
        <v>787</v>
      </c>
    </row>
    <row r="29" spans="1:12" x14ac:dyDescent="0.25">
      <c r="A29">
        <v>28</v>
      </c>
      <c r="B29">
        <v>68</v>
      </c>
      <c r="C29">
        <v>108</v>
      </c>
      <c r="D29">
        <v>188</v>
      </c>
      <c r="E29">
        <v>228</v>
      </c>
      <c r="F29">
        <v>268</v>
      </c>
      <c r="G29">
        <v>308</v>
      </c>
      <c r="H29">
        <v>348</v>
      </c>
      <c r="I29">
        <v>388</v>
      </c>
      <c r="J29">
        <v>428</v>
      </c>
      <c r="K29">
        <v>668</v>
      </c>
      <c r="L29">
        <v>788</v>
      </c>
    </row>
    <row r="30" spans="1:12" x14ac:dyDescent="0.25">
      <c r="A30">
        <v>29</v>
      </c>
      <c r="B30">
        <v>69</v>
      </c>
      <c r="C30">
        <v>109</v>
      </c>
      <c r="D30">
        <v>189</v>
      </c>
      <c r="E30">
        <v>229</v>
      </c>
      <c r="F30">
        <v>269</v>
      </c>
      <c r="G30">
        <v>309</v>
      </c>
      <c r="H30">
        <v>349</v>
      </c>
      <c r="I30">
        <v>389</v>
      </c>
      <c r="J30">
        <v>429</v>
      </c>
      <c r="K30">
        <v>669</v>
      </c>
      <c r="L30">
        <v>789</v>
      </c>
    </row>
    <row r="31" spans="1:12" x14ac:dyDescent="0.25">
      <c r="A31">
        <v>30</v>
      </c>
      <c r="B31">
        <v>70</v>
      </c>
      <c r="C31">
        <v>110</v>
      </c>
      <c r="D31">
        <v>190</v>
      </c>
      <c r="E31">
        <v>230</v>
      </c>
      <c r="F31">
        <v>270</v>
      </c>
      <c r="G31">
        <v>310</v>
      </c>
      <c r="H31">
        <v>350</v>
      </c>
      <c r="I31">
        <v>390</v>
      </c>
      <c r="J31">
        <v>430</v>
      </c>
      <c r="K31">
        <v>670</v>
      </c>
      <c r="L31">
        <v>790</v>
      </c>
    </row>
    <row r="32" spans="1:12" x14ac:dyDescent="0.25">
      <c r="A32">
        <v>31</v>
      </c>
      <c r="B32">
        <v>71</v>
      </c>
      <c r="C32">
        <v>111</v>
      </c>
      <c r="D32">
        <v>191</v>
      </c>
      <c r="E32">
        <v>231</v>
      </c>
      <c r="F32">
        <v>271</v>
      </c>
      <c r="G32">
        <v>311</v>
      </c>
      <c r="H32">
        <v>351</v>
      </c>
      <c r="I32">
        <v>391</v>
      </c>
      <c r="J32">
        <v>431</v>
      </c>
      <c r="K32">
        <v>671</v>
      </c>
      <c r="L32">
        <v>791</v>
      </c>
    </row>
    <row r="33" spans="1:12" x14ac:dyDescent="0.25">
      <c r="A33">
        <v>32</v>
      </c>
      <c r="B33">
        <v>72</v>
      </c>
      <c r="C33">
        <v>112</v>
      </c>
      <c r="D33">
        <v>192</v>
      </c>
      <c r="E33">
        <v>232</v>
      </c>
      <c r="F33">
        <v>272</v>
      </c>
      <c r="G33">
        <v>312</v>
      </c>
      <c r="H33">
        <v>352</v>
      </c>
      <c r="I33">
        <v>392</v>
      </c>
      <c r="J33">
        <v>432</v>
      </c>
      <c r="K33">
        <v>672</v>
      </c>
      <c r="L33">
        <v>792</v>
      </c>
    </row>
    <row r="34" spans="1:12" x14ac:dyDescent="0.25">
      <c r="A34">
        <v>33</v>
      </c>
      <c r="B34">
        <v>73</v>
      </c>
      <c r="C34">
        <v>113</v>
      </c>
      <c r="D34">
        <v>193</v>
      </c>
      <c r="E34">
        <v>233</v>
      </c>
      <c r="F34">
        <v>273</v>
      </c>
      <c r="G34">
        <v>313</v>
      </c>
      <c r="H34">
        <v>353</v>
      </c>
      <c r="I34">
        <v>393</v>
      </c>
      <c r="J34">
        <v>433</v>
      </c>
      <c r="K34">
        <v>673</v>
      </c>
      <c r="L34">
        <v>793</v>
      </c>
    </row>
    <row r="35" spans="1:12" x14ac:dyDescent="0.25">
      <c r="A35">
        <v>34</v>
      </c>
      <c r="B35">
        <v>74</v>
      </c>
      <c r="C35">
        <v>114</v>
      </c>
      <c r="D35">
        <v>194</v>
      </c>
      <c r="E35">
        <v>234</v>
      </c>
      <c r="F35">
        <v>274</v>
      </c>
      <c r="G35">
        <v>314</v>
      </c>
      <c r="H35">
        <v>354</v>
      </c>
      <c r="I35">
        <v>394</v>
      </c>
      <c r="J35">
        <v>434</v>
      </c>
      <c r="K35">
        <v>674</v>
      </c>
      <c r="L35">
        <v>794</v>
      </c>
    </row>
    <row r="36" spans="1:12" x14ac:dyDescent="0.25">
      <c r="A36">
        <v>35</v>
      </c>
      <c r="B36">
        <v>75</v>
      </c>
      <c r="C36">
        <v>115</v>
      </c>
      <c r="D36">
        <v>195</v>
      </c>
      <c r="E36">
        <v>235</v>
      </c>
      <c r="F36">
        <v>275</v>
      </c>
      <c r="G36">
        <v>315</v>
      </c>
      <c r="H36">
        <v>355</v>
      </c>
      <c r="I36">
        <v>395</v>
      </c>
      <c r="J36">
        <v>435</v>
      </c>
      <c r="K36">
        <v>675</v>
      </c>
      <c r="L36">
        <v>795</v>
      </c>
    </row>
    <row r="37" spans="1:12" x14ac:dyDescent="0.25">
      <c r="A37">
        <v>36</v>
      </c>
      <c r="B37">
        <v>76</v>
      </c>
      <c r="C37">
        <v>116</v>
      </c>
      <c r="D37">
        <v>196</v>
      </c>
      <c r="E37">
        <v>236</v>
      </c>
      <c r="F37">
        <v>276</v>
      </c>
      <c r="G37">
        <v>316</v>
      </c>
      <c r="H37">
        <v>356</v>
      </c>
      <c r="I37">
        <v>396</v>
      </c>
      <c r="J37">
        <v>436</v>
      </c>
      <c r="K37">
        <v>676</v>
      </c>
      <c r="L37">
        <v>796</v>
      </c>
    </row>
    <row r="38" spans="1:12" x14ac:dyDescent="0.25">
      <c r="A38">
        <v>37</v>
      </c>
      <c r="B38">
        <v>77</v>
      </c>
      <c r="C38">
        <v>117</v>
      </c>
      <c r="D38">
        <v>197</v>
      </c>
      <c r="E38">
        <v>237</v>
      </c>
      <c r="F38">
        <v>277</v>
      </c>
      <c r="G38">
        <v>317</v>
      </c>
      <c r="H38">
        <v>357</v>
      </c>
      <c r="I38">
        <v>397</v>
      </c>
      <c r="J38">
        <v>437</v>
      </c>
      <c r="K38">
        <v>677</v>
      </c>
      <c r="L38">
        <v>797</v>
      </c>
    </row>
    <row r="39" spans="1:12" x14ac:dyDescent="0.25">
      <c r="A39">
        <v>38</v>
      </c>
      <c r="B39">
        <v>78</v>
      </c>
      <c r="C39">
        <v>118</v>
      </c>
      <c r="D39">
        <v>198</v>
      </c>
      <c r="E39">
        <v>238</v>
      </c>
      <c r="F39">
        <v>278</v>
      </c>
      <c r="G39">
        <v>318</v>
      </c>
      <c r="H39">
        <v>358</v>
      </c>
      <c r="I39">
        <v>398</v>
      </c>
      <c r="J39">
        <v>438</v>
      </c>
      <c r="K39">
        <v>678</v>
      </c>
      <c r="L39">
        <v>798</v>
      </c>
    </row>
    <row r="40" spans="1:12" x14ac:dyDescent="0.25">
      <c r="A40">
        <v>39</v>
      </c>
      <c r="B40">
        <v>79</v>
      </c>
      <c r="C40">
        <v>119</v>
      </c>
      <c r="D40">
        <v>199</v>
      </c>
      <c r="E40">
        <v>239</v>
      </c>
      <c r="F40">
        <v>279</v>
      </c>
      <c r="G40">
        <v>319</v>
      </c>
      <c r="H40">
        <v>359</v>
      </c>
      <c r="I40">
        <v>399</v>
      </c>
      <c r="J40">
        <v>439</v>
      </c>
      <c r="K40">
        <v>679</v>
      </c>
      <c r="L40">
        <v>799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335A8-8AAE-4C85-9B25-ABDE762E4653}">
  <sheetPr codeName="Sheet1"/>
  <dimension ref="A1:U42"/>
  <sheetViews>
    <sheetView topLeftCell="A15" zoomScaleNormal="100" workbookViewId="0">
      <selection activeCell="B25" sqref="A3:P39"/>
    </sheetView>
  </sheetViews>
  <sheetFormatPr defaultRowHeight="15" x14ac:dyDescent="0.25"/>
  <cols>
    <col min="1" max="1" width="16.7109375" style="5" customWidth="1"/>
    <col min="2" max="2" width="45.42578125" style="5" bestFit="1" customWidth="1"/>
    <col min="3" max="3" width="10.140625" style="5" customWidth="1"/>
    <col min="4" max="4" width="10.85546875" style="5" customWidth="1"/>
    <col min="5" max="5" width="13.140625" style="5" bestFit="1" customWidth="1"/>
    <col min="6" max="8" width="13.7109375" style="4" customWidth="1"/>
    <col min="9" max="12" width="13.42578125" style="4" customWidth="1"/>
    <col min="13" max="16" width="16.140625" style="4" customWidth="1"/>
    <col min="17" max="17" width="9.140625" style="5"/>
    <col min="18" max="18" width="18.7109375" style="5" bestFit="1" customWidth="1"/>
    <col min="19" max="19" width="32" style="5" bestFit="1" customWidth="1"/>
    <col min="20" max="21" width="10" style="5" bestFit="1" customWidth="1"/>
    <col min="22" max="16384" width="9.140625" style="5"/>
  </cols>
  <sheetData>
    <row r="1" spans="1:21" x14ac:dyDescent="0.25">
      <c r="B1" s="1" t="s">
        <v>252</v>
      </c>
      <c r="C1" s="1"/>
      <c r="D1" s="1"/>
      <c r="E1" s="1"/>
      <c r="F1" s="6"/>
      <c r="I1" s="6"/>
      <c r="M1" s="6"/>
    </row>
    <row r="2" spans="1:21" customFormat="1" x14ac:dyDescent="0.25">
      <c r="A2" t="s">
        <v>237</v>
      </c>
      <c r="B2" t="s">
        <v>81</v>
      </c>
      <c r="C2" t="s">
        <v>220</v>
      </c>
      <c r="D2" t="s">
        <v>222</v>
      </c>
      <c r="E2" t="s">
        <v>223</v>
      </c>
      <c r="F2" t="s">
        <v>126</v>
      </c>
      <c r="G2" t="s">
        <v>72</v>
      </c>
      <c r="H2" t="s">
        <v>70</v>
      </c>
      <c r="I2" t="s">
        <v>122</v>
      </c>
      <c r="J2" t="s">
        <v>74</v>
      </c>
      <c r="K2" t="s">
        <v>123</v>
      </c>
      <c r="L2" t="s">
        <v>124</v>
      </c>
      <c r="M2" t="s">
        <v>127</v>
      </c>
      <c r="N2" t="s">
        <v>42</v>
      </c>
      <c r="O2" t="s">
        <v>125</v>
      </c>
      <c r="P2" t="s">
        <v>43</v>
      </c>
    </row>
    <row r="3" spans="1:21" x14ac:dyDescent="0.25">
      <c r="A3">
        <v>201</v>
      </c>
      <c r="B3" t="s">
        <v>86</v>
      </c>
      <c r="C3" t="s">
        <v>221</v>
      </c>
      <c r="D3">
        <v>440001</v>
      </c>
      <c r="E3" t="s">
        <v>226</v>
      </c>
      <c r="F3">
        <v>9136</v>
      </c>
      <c r="G3" s="4">
        <v>959803</v>
      </c>
      <c r="H3">
        <v>904721</v>
      </c>
      <c r="I3">
        <v>12982</v>
      </c>
      <c r="J3">
        <v>2289</v>
      </c>
      <c r="K3">
        <v>1769</v>
      </c>
      <c r="L3">
        <v>526</v>
      </c>
      <c r="M3">
        <v>1923</v>
      </c>
      <c r="N3">
        <v>53</v>
      </c>
      <c r="O3">
        <v>40</v>
      </c>
      <c r="P3">
        <v>7</v>
      </c>
    </row>
    <row r="4" spans="1:21" x14ac:dyDescent="0.25">
      <c r="A4">
        <v>202</v>
      </c>
      <c r="B4" t="s">
        <v>87</v>
      </c>
      <c r="C4" t="s">
        <v>221</v>
      </c>
      <c r="D4">
        <v>640001</v>
      </c>
      <c r="E4" t="s">
        <v>224</v>
      </c>
      <c r="F4">
        <v>7126</v>
      </c>
      <c r="G4" s="4">
        <v>689571</v>
      </c>
      <c r="H4">
        <v>1319607</v>
      </c>
      <c r="I4">
        <v>14252</v>
      </c>
      <c r="J4">
        <v>726</v>
      </c>
      <c r="K4">
        <v>1257</v>
      </c>
      <c r="L4">
        <v>235</v>
      </c>
      <c r="M4">
        <v>1069</v>
      </c>
      <c r="N4">
        <v>8</v>
      </c>
      <c r="O4">
        <v>99</v>
      </c>
      <c r="P4">
        <v>11</v>
      </c>
      <c r="R4" s="5" t="s">
        <v>177</v>
      </c>
      <c r="S4" s="13" t="s">
        <v>178</v>
      </c>
      <c r="T4"/>
      <c r="U4"/>
    </row>
    <row r="5" spans="1:21" x14ac:dyDescent="0.25">
      <c r="A5">
        <v>203</v>
      </c>
      <c r="B5" t="s">
        <v>88</v>
      </c>
      <c r="C5" t="s">
        <v>221</v>
      </c>
      <c r="D5">
        <v>520001</v>
      </c>
      <c r="E5" t="s">
        <v>227</v>
      </c>
      <c r="F5">
        <v>12631</v>
      </c>
      <c r="G5" s="4">
        <v>1357412</v>
      </c>
      <c r="H5">
        <v>1223395</v>
      </c>
      <c r="I5">
        <v>14316</v>
      </c>
      <c r="J5">
        <v>1882</v>
      </c>
      <c r="K5">
        <v>898</v>
      </c>
      <c r="L5">
        <v>275</v>
      </c>
      <c r="M5">
        <v>2947</v>
      </c>
      <c r="N5">
        <v>5</v>
      </c>
      <c r="O5">
        <v>195</v>
      </c>
      <c r="P5">
        <v>39</v>
      </c>
      <c r="S5" t="s">
        <v>181</v>
      </c>
      <c r="T5"/>
      <c r="U5"/>
    </row>
    <row r="6" spans="1:21" x14ac:dyDescent="0.25">
      <c r="A6">
        <v>204</v>
      </c>
      <c r="B6" t="s">
        <v>89</v>
      </c>
      <c r="C6" t="s">
        <v>221</v>
      </c>
      <c r="D6">
        <v>420001</v>
      </c>
      <c r="E6" t="s">
        <v>226</v>
      </c>
      <c r="F6">
        <v>6461</v>
      </c>
      <c r="G6" s="4">
        <v>1233676</v>
      </c>
      <c r="H6">
        <v>944503</v>
      </c>
      <c r="I6">
        <v>9230</v>
      </c>
      <c r="J6">
        <v>1455</v>
      </c>
      <c r="K6">
        <v>1620</v>
      </c>
      <c r="L6">
        <v>656</v>
      </c>
      <c r="M6">
        <v>1452</v>
      </c>
      <c r="N6">
        <v>49</v>
      </c>
      <c r="O6">
        <v>117</v>
      </c>
      <c r="P6">
        <v>81</v>
      </c>
      <c r="S6" t="s">
        <v>179</v>
      </c>
      <c r="T6">
        <f>_xlfn.PERCENTILE.EXC(H3:H37,0.04)</f>
        <v>426208.76</v>
      </c>
      <c r="U6">
        <v>426208.76</v>
      </c>
    </row>
    <row r="7" spans="1:21" x14ac:dyDescent="0.25">
      <c r="A7">
        <v>205</v>
      </c>
      <c r="B7" t="s">
        <v>90</v>
      </c>
      <c r="C7" t="s">
        <v>221</v>
      </c>
      <c r="D7">
        <v>740001</v>
      </c>
      <c r="E7" t="s">
        <v>224</v>
      </c>
      <c r="F7">
        <v>12718</v>
      </c>
      <c r="G7" s="4">
        <v>1016997</v>
      </c>
      <c r="H7">
        <v>541332</v>
      </c>
      <c r="I7">
        <v>13585</v>
      </c>
      <c r="J7">
        <v>2209</v>
      </c>
      <c r="K7">
        <v>2039</v>
      </c>
      <c r="L7">
        <v>497</v>
      </c>
      <c r="M7">
        <v>1734</v>
      </c>
      <c r="N7">
        <v>32</v>
      </c>
      <c r="O7">
        <v>27</v>
      </c>
      <c r="P7">
        <v>49</v>
      </c>
      <c r="S7" t="s">
        <v>180</v>
      </c>
      <c r="T7">
        <f>_xlfn.PERCENTILE.EXC(H3:H37,0.95)</f>
        <v>9978374.7999998555</v>
      </c>
      <c r="U7">
        <v>9978374.7999998555</v>
      </c>
    </row>
    <row r="8" spans="1:21" x14ac:dyDescent="0.25">
      <c r="A8">
        <v>206</v>
      </c>
      <c r="B8" t="s">
        <v>91</v>
      </c>
      <c r="C8" t="s">
        <v>221</v>
      </c>
      <c r="D8">
        <v>561001</v>
      </c>
      <c r="E8" t="s">
        <v>227</v>
      </c>
      <c r="F8">
        <v>6963</v>
      </c>
      <c r="G8" s="4">
        <v>548049</v>
      </c>
      <c r="H8">
        <v>1479145</v>
      </c>
      <c r="I8">
        <v>4764</v>
      </c>
      <c r="J8">
        <v>297</v>
      </c>
      <c r="K8">
        <v>354</v>
      </c>
      <c r="L8">
        <v>134</v>
      </c>
      <c r="M8">
        <v>1099</v>
      </c>
      <c r="N8">
        <v>3</v>
      </c>
      <c r="O8">
        <v>72</v>
      </c>
      <c r="P8">
        <v>33</v>
      </c>
    </row>
    <row r="9" spans="1:21" x14ac:dyDescent="0.25">
      <c r="A9">
        <v>207</v>
      </c>
      <c r="B9" t="s">
        <v>92</v>
      </c>
      <c r="C9" t="s">
        <v>221</v>
      </c>
      <c r="D9">
        <v>970001</v>
      </c>
      <c r="E9" t="s">
        <v>229</v>
      </c>
      <c r="F9">
        <v>9479</v>
      </c>
      <c r="G9" s="4">
        <v>1578658</v>
      </c>
      <c r="H9">
        <v>921256</v>
      </c>
      <c r="I9">
        <v>13271</v>
      </c>
      <c r="J9">
        <v>1783</v>
      </c>
      <c r="K9">
        <v>1146</v>
      </c>
      <c r="L9">
        <v>357</v>
      </c>
      <c r="M9">
        <v>1580</v>
      </c>
      <c r="N9">
        <v>28</v>
      </c>
      <c r="O9">
        <v>22</v>
      </c>
      <c r="P9">
        <v>16</v>
      </c>
    </row>
    <row r="10" spans="1:21" x14ac:dyDescent="0.25">
      <c r="A10">
        <v>208</v>
      </c>
      <c r="B10" t="s">
        <v>93</v>
      </c>
      <c r="C10" t="s">
        <v>221</v>
      </c>
      <c r="D10">
        <v>600001</v>
      </c>
      <c r="E10" t="s">
        <v>224</v>
      </c>
      <c r="F10">
        <v>10694</v>
      </c>
      <c r="G10" s="4">
        <v>691111</v>
      </c>
      <c r="H10">
        <v>1536158</v>
      </c>
      <c r="I10">
        <v>8148</v>
      </c>
      <c r="J10">
        <v>498</v>
      </c>
      <c r="K10">
        <v>1257</v>
      </c>
      <c r="L10">
        <v>131</v>
      </c>
      <c r="M10">
        <v>509</v>
      </c>
      <c r="N10">
        <v>40</v>
      </c>
      <c r="O10">
        <v>99</v>
      </c>
      <c r="P10">
        <v>37</v>
      </c>
    </row>
    <row r="11" spans="1:21" x14ac:dyDescent="0.25">
      <c r="A11">
        <v>209</v>
      </c>
      <c r="B11" t="s">
        <v>94</v>
      </c>
      <c r="C11" t="s">
        <v>221</v>
      </c>
      <c r="D11">
        <v>540001</v>
      </c>
      <c r="E11" t="s">
        <v>227</v>
      </c>
      <c r="F11">
        <v>8658</v>
      </c>
      <c r="G11" s="4">
        <v>1020384</v>
      </c>
      <c r="H11">
        <v>577216</v>
      </c>
      <c r="I11">
        <v>14560</v>
      </c>
      <c r="J11">
        <v>1417</v>
      </c>
      <c r="K11">
        <v>1126</v>
      </c>
      <c r="L11">
        <v>318</v>
      </c>
      <c r="M11">
        <v>1181</v>
      </c>
      <c r="N11">
        <v>39</v>
      </c>
      <c r="O11">
        <v>168</v>
      </c>
      <c r="P11">
        <v>47</v>
      </c>
    </row>
    <row r="12" spans="1:21" x14ac:dyDescent="0.25">
      <c r="A12">
        <v>210</v>
      </c>
      <c r="B12" t="s">
        <v>95</v>
      </c>
      <c r="C12" t="s">
        <v>221</v>
      </c>
      <c r="D12">
        <v>320001</v>
      </c>
      <c r="E12" t="s">
        <v>227</v>
      </c>
      <c r="F12">
        <v>9819</v>
      </c>
      <c r="G12" s="4">
        <v>1560679</v>
      </c>
      <c r="H12">
        <v>898084</v>
      </c>
      <c r="I12">
        <v>23846</v>
      </c>
      <c r="J12">
        <v>1470</v>
      </c>
      <c r="K12">
        <v>1444</v>
      </c>
      <c r="L12">
        <v>576</v>
      </c>
      <c r="M12">
        <v>2805</v>
      </c>
      <c r="N12">
        <v>54</v>
      </c>
      <c r="O12">
        <v>99</v>
      </c>
      <c r="P12">
        <v>33</v>
      </c>
    </row>
    <row r="13" spans="1:21" x14ac:dyDescent="0.25">
      <c r="A13">
        <v>211</v>
      </c>
      <c r="B13" t="s">
        <v>96</v>
      </c>
      <c r="C13" t="s">
        <v>221</v>
      </c>
      <c r="D13">
        <v>840001</v>
      </c>
      <c r="E13" t="s">
        <v>226</v>
      </c>
      <c r="F13">
        <v>5723</v>
      </c>
      <c r="G13" s="4">
        <v>590355</v>
      </c>
      <c r="H13">
        <v>964179</v>
      </c>
      <c r="I13">
        <v>12161</v>
      </c>
      <c r="J13">
        <v>2404</v>
      </c>
      <c r="K13">
        <v>1206</v>
      </c>
      <c r="L13">
        <v>232</v>
      </c>
      <c r="M13">
        <v>1788</v>
      </c>
      <c r="N13">
        <v>29</v>
      </c>
      <c r="O13">
        <v>4</v>
      </c>
      <c r="P13">
        <v>12</v>
      </c>
    </row>
    <row r="14" spans="1:21" x14ac:dyDescent="0.25">
      <c r="A14">
        <v>212</v>
      </c>
      <c r="B14" t="s">
        <v>97</v>
      </c>
      <c r="C14" t="s">
        <v>221</v>
      </c>
      <c r="D14">
        <v>300001</v>
      </c>
      <c r="E14" t="s">
        <v>227</v>
      </c>
      <c r="F14">
        <v>7031</v>
      </c>
      <c r="G14" s="4">
        <v>924944</v>
      </c>
      <c r="H14">
        <v>1064893</v>
      </c>
      <c r="I14">
        <v>9281</v>
      </c>
      <c r="J14">
        <v>2633</v>
      </c>
      <c r="K14">
        <v>1879</v>
      </c>
      <c r="L14">
        <v>899</v>
      </c>
      <c r="M14">
        <v>844</v>
      </c>
      <c r="N14">
        <v>44</v>
      </c>
      <c r="O14">
        <v>118</v>
      </c>
      <c r="P14">
        <v>29</v>
      </c>
    </row>
    <row r="15" spans="1:21" x14ac:dyDescent="0.25">
      <c r="A15">
        <v>213</v>
      </c>
      <c r="B15" t="s">
        <v>98</v>
      </c>
      <c r="C15" t="s">
        <v>221</v>
      </c>
      <c r="D15">
        <v>360001</v>
      </c>
      <c r="E15" t="s">
        <v>228</v>
      </c>
      <c r="F15">
        <v>9216</v>
      </c>
      <c r="G15" s="4">
        <v>1017510</v>
      </c>
      <c r="H15">
        <v>527230</v>
      </c>
      <c r="I15">
        <v>17510</v>
      </c>
      <c r="J15">
        <v>926</v>
      </c>
      <c r="K15">
        <v>903</v>
      </c>
      <c r="L15">
        <v>280</v>
      </c>
      <c r="M15">
        <v>1452</v>
      </c>
      <c r="N15">
        <v>2</v>
      </c>
      <c r="O15">
        <v>126</v>
      </c>
      <c r="P15">
        <v>5</v>
      </c>
    </row>
    <row r="16" spans="1:21" x14ac:dyDescent="0.25">
      <c r="A16">
        <v>214</v>
      </c>
      <c r="B16" t="s">
        <v>99</v>
      </c>
      <c r="C16" t="s">
        <v>221</v>
      </c>
      <c r="D16">
        <v>400001</v>
      </c>
      <c r="E16" t="s">
        <v>226</v>
      </c>
      <c r="F16">
        <v>8759</v>
      </c>
      <c r="G16" s="4">
        <v>1088620</v>
      </c>
      <c r="H16">
        <v>1296386</v>
      </c>
      <c r="I16">
        <v>9681</v>
      </c>
      <c r="J16">
        <v>1404</v>
      </c>
      <c r="K16">
        <v>812</v>
      </c>
      <c r="L16">
        <v>402</v>
      </c>
      <c r="M16">
        <v>922</v>
      </c>
      <c r="N16">
        <v>28</v>
      </c>
      <c r="O16">
        <v>99</v>
      </c>
      <c r="P16">
        <v>30</v>
      </c>
    </row>
    <row r="17" spans="1:16" x14ac:dyDescent="0.25">
      <c r="A17">
        <v>215</v>
      </c>
      <c r="B17" t="s">
        <v>100</v>
      </c>
      <c r="C17" t="s">
        <v>221</v>
      </c>
      <c r="D17">
        <v>760001</v>
      </c>
      <c r="E17" t="s">
        <v>224</v>
      </c>
      <c r="F17">
        <v>6485</v>
      </c>
      <c r="G17" s="4">
        <v>538205</v>
      </c>
      <c r="H17">
        <v>820001</v>
      </c>
      <c r="I17">
        <v>19454</v>
      </c>
      <c r="J17">
        <v>876</v>
      </c>
      <c r="K17">
        <v>1043</v>
      </c>
      <c r="L17">
        <v>225</v>
      </c>
      <c r="M17">
        <v>1452</v>
      </c>
      <c r="N17">
        <v>28</v>
      </c>
      <c r="O17">
        <v>65</v>
      </c>
      <c r="P17">
        <v>31</v>
      </c>
    </row>
    <row r="18" spans="1:16" x14ac:dyDescent="0.25">
      <c r="A18">
        <v>216</v>
      </c>
      <c r="B18" t="s">
        <v>101</v>
      </c>
      <c r="C18" t="s">
        <v>221</v>
      </c>
      <c r="D18">
        <v>460001</v>
      </c>
      <c r="E18" t="s">
        <v>226</v>
      </c>
      <c r="F18">
        <v>5009</v>
      </c>
      <c r="G18" s="4">
        <v>1400848</v>
      </c>
      <c r="H18">
        <v>1635453</v>
      </c>
      <c r="I18">
        <v>7632</v>
      </c>
      <c r="J18">
        <v>1976</v>
      </c>
      <c r="K18">
        <v>1259</v>
      </c>
      <c r="L18">
        <v>534</v>
      </c>
      <c r="M18">
        <v>716</v>
      </c>
      <c r="N18">
        <v>44</v>
      </c>
      <c r="O18">
        <v>135</v>
      </c>
      <c r="P18">
        <v>40</v>
      </c>
    </row>
    <row r="19" spans="1:16" x14ac:dyDescent="0.25">
      <c r="A19">
        <v>217</v>
      </c>
      <c r="B19" t="s">
        <v>102</v>
      </c>
      <c r="C19" t="s">
        <v>221</v>
      </c>
      <c r="D19">
        <v>720001</v>
      </c>
      <c r="E19" t="s">
        <v>225</v>
      </c>
      <c r="F19">
        <v>6625</v>
      </c>
      <c r="G19" s="4">
        <v>834200</v>
      </c>
      <c r="H19">
        <v>1794358</v>
      </c>
      <c r="I19">
        <v>12256</v>
      </c>
      <c r="J19">
        <v>2360</v>
      </c>
      <c r="K19">
        <v>1022</v>
      </c>
      <c r="L19">
        <v>217</v>
      </c>
      <c r="M19">
        <v>1656</v>
      </c>
      <c r="N19">
        <v>10</v>
      </c>
      <c r="O19">
        <v>75</v>
      </c>
      <c r="P19">
        <v>14</v>
      </c>
    </row>
    <row r="20" spans="1:16" x14ac:dyDescent="0.25">
      <c r="A20">
        <v>218</v>
      </c>
      <c r="B20" t="s">
        <v>103</v>
      </c>
      <c r="C20" t="s">
        <v>221</v>
      </c>
      <c r="D20">
        <v>800001</v>
      </c>
      <c r="E20" t="s">
        <v>225</v>
      </c>
      <c r="F20">
        <v>10568</v>
      </c>
      <c r="G20" s="4">
        <v>1931387</v>
      </c>
      <c r="H20">
        <v>1216604</v>
      </c>
      <c r="I20">
        <v>19694</v>
      </c>
      <c r="J20">
        <v>2574</v>
      </c>
      <c r="K20">
        <v>2712</v>
      </c>
      <c r="L20">
        <v>1137</v>
      </c>
      <c r="M20">
        <v>1921</v>
      </c>
      <c r="N20">
        <v>76</v>
      </c>
      <c r="O20">
        <v>170</v>
      </c>
      <c r="P20">
        <v>145</v>
      </c>
    </row>
    <row r="21" spans="1:16" x14ac:dyDescent="0.25">
      <c r="A21">
        <v>219</v>
      </c>
      <c r="B21" t="s">
        <v>104</v>
      </c>
      <c r="C21" t="s">
        <v>221</v>
      </c>
      <c r="D21">
        <v>700001</v>
      </c>
      <c r="E21" t="s">
        <v>225</v>
      </c>
      <c r="F21">
        <v>24790</v>
      </c>
      <c r="G21" s="4">
        <v>1824961</v>
      </c>
      <c r="H21">
        <v>692104</v>
      </c>
      <c r="I21">
        <v>39994</v>
      </c>
      <c r="J21">
        <v>2298</v>
      </c>
      <c r="K21">
        <v>7790</v>
      </c>
      <c r="L21">
        <v>1740</v>
      </c>
      <c r="M21">
        <v>2975</v>
      </c>
      <c r="N21">
        <v>143</v>
      </c>
      <c r="O21">
        <v>496</v>
      </c>
      <c r="P21">
        <v>69</v>
      </c>
    </row>
    <row r="22" spans="1:16" x14ac:dyDescent="0.25">
      <c r="A22">
        <v>220</v>
      </c>
      <c r="B22" t="s">
        <v>105</v>
      </c>
      <c r="C22" t="s">
        <v>221</v>
      </c>
      <c r="D22">
        <v>820001</v>
      </c>
      <c r="E22" t="s">
        <v>225</v>
      </c>
      <c r="F22">
        <v>19846</v>
      </c>
      <c r="G22" s="4">
        <v>1659304</v>
      </c>
      <c r="H22">
        <v>967431</v>
      </c>
      <c r="I22">
        <v>20287</v>
      </c>
      <c r="J22">
        <v>1335</v>
      </c>
      <c r="K22">
        <v>1256</v>
      </c>
      <c r="L22">
        <v>464</v>
      </c>
      <c r="M22">
        <v>1323</v>
      </c>
      <c r="N22">
        <v>32</v>
      </c>
      <c r="O22">
        <v>99</v>
      </c>
      <c r="P22">
        <v>70</v>
      </c>
    </row>
    <row r="23" spans="1:16" x14ac:dyDescent="0.25">
      <c r="A23">
        <v>221</v>
      </c>
      <c r="B23" t="s">
        <v>106</v>
      </c>
      <c r="C23" t="s">
        <v>221</v>
      </c>
      <c r="D23">
        <v>860001</v>
      </c>
      <c r="E23" t="s">
        <v>225</v>
      </c>
      <c r="F23">
        <v>4751</v>
      </c>
      <c r="G23" s="4">
        <v>708541</v>
      </c>
      <c r="H23">
        <v>717909</v>
      </c>
      <c r="I23">
        <v>9162</v>
      </c>
      <c r="J23">
        <v>809</v>
      </c>
      <c r="K23">
        <v>898</v>
      </c>
      <c r="L23">
        <v>221</v>
      </c>
      <c r="M23">
        <v>679</v>
      </c>
      <c r="N23">
        <v>6</v>
      </c>
      <c r="O23">
        <v>91</v>
      </c>
      <c r="P23">
        <v>11</v>
      </c>
    </row>
    <row r="24" spans="1:16" x14ac:dyDescent="0.25">
      <c r="A24">
        <v>222</v>
      </c>
      <c r="B24" t="s">
        <v>107</v>
      </c>
      <c r="C24" t="s">
        <v>221</v>
      </c>
      <c r="D24">
        <v>260001</v>
      </c>
      <c r="E24" t="s">
        <v>229</v>
      </c>
      <c r="F24">
        <v>7686</v>
      </c>
      <c r="G24" s="4">
        <v>996748</v>
      </c>
      <c r="H24">
        <v>3224324</v>
      </c>
      <c r="I24">
        <v>12078</v>
      </c>
      <c r="J24">
        <v>1011</v>
      </c>
      <c r="K24">
        <v>827</v>
      </c>
      <c r="L24">
        <v>328</v>
      </c>
      <c r="M24">
        <v>439</v>
      </c>
      <c r="N24">
        <v>16</v>
      </c>
      <c r="O24">
        <v>17</v>
      </c>
      <c r="P24">
        <v>11</v>
      </c>
    </row>
    <row r="25" spans="1:16" x14ac:dyDescent="0.25">
      <c r="A25">
        <v>223</v>
      </c>
      <c r="B25" t="s">
        <v>108</v>
      </c>
      <c r="C25" t="s">
        <v>221</v>
      </c>
      <c r="D25">
        <v>240001</v>
      </c>
      <c r="E25" t="s">
        <v>229</v>
      </c>
      <c r="F25">
        <v>10565</v>
      </c>
      <c r="G25" s="4">
        <v>802418</v>
      </c>
      <c r="H25">
        <v>382086</v>
      </c>
      <c r="I25">
        <v>24752</v>
      </c>
      <c r="J25">
        <v>1398</v>
      </c>
      <c r="K25">
        <v>164</v>
      </c>
      <c r="L25">
        <v>415</v>
      </c>
      <c r="M25">
        <v>604</v>
      </c>
      <c r="N25">
        <v>18</v>
      </c>
      <c r="O25">
        <v>62</v>
      </c>
      <c r="P25">
        <v>28</v>
      </c>
    </row>
    <row r="26" spans="1:16" x14ac:dyDescent="0.25">
      <c r="A26">
        <v>224</v>
      </c>
      <c r="B26" t="s">
        <v>109</v>
      </c>
      <c r="C26" t="s">
        <v>221</v>
      </c>
      <c r="D26">
        <v>100001</v>
      </c>
      <c r="E26" t="s">
        <v>228</v>
      </c>
      <c r="F26">
        <v>38005</v>
      </c>
      <c r="G26" s="4">
        <v>3329156</v>
      </c>
      <c r="H26">
        <v>977240</v>
      </c>
      <c r="I26">
        <v>37135</v>
      </c>
      <c r="J26">
        <v>8042</v>
      </c>
      <c r="K26">
        <v>11044</v>
      </c>
      <c r="L26">
        <v>4146</v>
      </c>
      <c r="M26">
        <v>4932</v>
      </c>
      <c r="N26">
        <v>354</v>
      </c>
      <c r="O26">
        <v>619</v>
      </c>
      <c r="P26">
        <v>389</v>
      </c>
    </row>
    <row r="27" spans="1:16" x14ac:dyDescent="0.25">
      <c r="A27">
        <v>225</v>
      </c>
      <c r="B27" t="s">
        <v>110</v>
      </c>
      <c r="C27" t="s">
        <v>221</v>
      </c>
      <c r="D27">
        <v>962001</v>
      </c>
      <c r="E27" t="s">
        <v>229</v>
      </c>
      <c r="F27">
        <v>7905</v>
      </c>
      <c r="G27" s="4">
        <v>385489</v>
      </c>
      <c r="H27">
        <v>1165848</v>
      </c>
      <c r="I27">
        <v>10163</v>
      </c>
      <c r="J27">
        <v>2586</v>
      </c>
      <c r="K27">
        <v>1098</v>
      </c>
      <c r="L27">
        <v>387</v>
      </c>
      <c r="M27">
        <v>565</v>
      </c>
      <c r="N27">
        <v>18</v>
      </c>
      <c r="O27">
        <v>22</v>
      </c>
      <c r="P27">
        <v>32</v>
      </c>
    </row>
    <row r="28" spans="1:16" x14ac:dyDescent="0.25">
      <c r="A28">
        <v>226</v>
      </c>
      <c r="B28" t="s">
        <v>111</v>
      </c>
      <c r="C28" t="s">
        <v>221</v>
      </c>
      <c r="D28">
        <v>920001</v>
      </c>
      <c r="E28" t="s">
        <v>229</v>
      </c>
      <c r="F28">
        <v>9205</v>
      </c>
      <c r="G28" s="4">
        <v>1066792</v>
      </c>
      <c r="H28">
        <v>1026770</v>
      </c>
      <c r="I28">
        <v>22092</v>
      </c>
      <c r="J28">
        <v>2074</v>
      </c>
      <c r="K28">
        <v>1258</v>
      </c>
      <c r="L28">
        <v>433</v>
      </c>
      <c r="M28">
        <v>1105</v>
      </c>
      <c r="N28">
        <v>47</v>
      </c>
      <c r="O28">
        <v>100</v>
      </c>
      <c r="P28">
        <v>46</v>
      </c>
    </row>
    <row r="29" spans="1:16" x14ac:dyDescent="0.25">
      <c r="A29">
        <v>227</v>
      </c>
      <c r="B29" t="s">
        <v>112</v>
      </c>
      <c r="C29" t="s">
        <v>221</v>
      </c>
      <c r="D29">
        <v>110001</v>
      </c>
      <c r="E29" t="s">
        <v>228</v>
      </c>
      <c r="F29">
        <v>14010</v>
      </c>
      <c r="G29" s="4">
        <v>1178109</v>
      </c>
      <c r="H29">
        <v>1356174</v>
      </c>
      <c r="I29">
        <v>29265</v>
      </c>
      <c r="J29">
        <v>2394</v>
      </c>
      <c r="K29">
        <v>1690</v>
      </c>
      <c r="L29">
        <v>506</v>
      </c>
      <c r="M29">
        <v>1868</v>
      </c>
      <c r="N29">
        <v>71</v>
      </c>
      <c r="O29">
        <v>104</v>
      </c>
      <c r="P29">
        <v>40</v>
      </c>
    </row>
    <row r="30" spans="1:16" x14ac:dyDescent="0.25">
      <c r="A30">
        <v>228</v>
      </c>
      <c r="B30" t="s">
        <v>113</v>
      </c>
      <c r="C30" t="s">
        <v>221</v>
      </c>
      <c r="D30">
        <v>340001</v>
      </c>
      <c r="E30" t="s">
        <v>228</v>
      </c>
      <c r="F30">
        <v>7523</v>
      </c>
      <c r="G30" s="4">
        <v>1058025</v>
      </c>
      <c r="H30">
        <v>1864954</v>
      </c>
      <c r="I30">
        <v>6771</v>
      </c>
      <c r="J30">
        <v>2324</v>
      </c>
      <c r="K30">
        <v>1805</v>
      </c>
      <c r="L30">
        <v>596</v>
      </c>
      <c r="M30">
        <v>1128</v>
      </c>
      <c r="N30">
        <v>39</v>
      </c>
      <c r="O30">
        <v>194</v>
      </c>
      <c r="P30">
        <v>18</v>
      </c>
    </row>
    <row r="31" spans="1:16" x14ac:dyDescent="0.25">
      <c r="A31">
        <v>229</v>
      </c>
      <c r="B31" t="s">
        <v>114</v>
      </c>
      <c r="C31" t="s">
        <v>221</v>
      </c>
      <c r="D31">
        <v>230001</v>
      </c>
      <c r="E31" t="s">
        <v>228</v>
      </c>
      <c r="F31">
        <v>7265</v>
      </c>
      <c r="G31" s="4">
        <v>1370908</v>
      </c>
      <c r="H31">
        <v>786504</v>
      </c>
      <c r="I31">
        <v>18565</v>
      </c>
      <c r="J31">
        <v>2995</v>
      </c>
      <c r="K31">
        <v>2247</v>
      </c>
      <c r="L31">
        <v>100</v>
      </c>
      <c r="M31">
        <v>404</v>
      </c>
      <c r="N31">
        <v>12</v>
      </c>
      <c r="O31">
        <v>25</v>
      </c>
      <c r="P31">
        <v>33</v>
      </c>
    </row>
    <row r="32" spans="1:16" x14ac:dyDescent="0.25">
      <c r="A32">
        <v>230</v>
      </c>
      <c r="B32" t="s">
        <v>115</v>
      </c>
      <c r="C32" t="s">
        <v>221</v>
      </c>
      <c r="D32">
        <v>200001</v>
      </c>
      <c r="E32" t="s">
        <v>228</v>
      </c>
      <c r="F32">
        <v>15870</v>
      </c>
      <c r="G32" s="4">
        <v>1909475</v>
      </c>
      <c r="H32">
        <v>1749911</v>
      </c>
      <c r="I32">
        <v>30417</v>
      </c>
      <c r="J32">
        <v>6039</v>
      </c>
      <c r="K32">
        <v>7468</v>
      </c>
      <c r="L32">
        <v>1300</v>
      </c>
      <c r="M32">
        <v>1322</v>
      </c>
      <c r="N32">
        <v>92</v>
      </c>
      <c r="O32">
        <v>519</v>
      </c>
      <c r="P32">
        <v>94</v>
      </c>
    </row>
    <row r="33" spans="1:16" x14ac:dyDescent="0.25">
      <c r="A33">
        <v>231</v>
      </c>
      <c r="B33" t="s">
        <v>116</v>
      </c>
      <c r="C33" t="s">
        <v>221</v>
      </c>
      <c r="D33">
        <v>930001</v>
      </c>
      <c r="E33" t="s">
        <v>229</v>
      </c>
      <c r="F33">
        <v>7764</v>
      </c>
      <c r="G33" s="4">
        <v>815430</v>
      </c>
      <c r="H33">
        <v>700106</v>
      </c>
      <c r="I33">
        <v>19087</v>
      </c>
      <c r="J33">
        <v>1533</v>
      </c>
      <c r="K33">
        <v>2070</v>
      </c>
      <c r="L33">
        <v>613</v>
      </c>
      <c r="M33">
        <v>2265</v>
      </c>
      <c r="N33">
        <v>41</v>
      </c>
      <c r="O33">
        <v>110</v>
      </c>
      <c r="P33">
        <v>49</v>
      </c>
    </row>
    <row r="34" spans="1:16" x14ac:dyDescent="0.25">
      <c r="A34">
        <v>232</v>
      </c>
      <c r="B34" t="s">
        <v>168</v>
      </c>
      <c r="C34" t="s">
        <v>221</v>
      </c>
      <c r="D34">
        <v>500001</v>
      </c>
      <c r="E34" t="s">
        <v>227</v>
      </c>
      <c r="F34">
        <v>26365</v>
      </c>
      <c r="G34" s="4">
        <v>2129780</v>
      </c>
      <c r="H34">
        <v>513973</v>
      </c>
      <c r="I34">
        <v>40467</v>
      </c>
      <c r="J34">
        <v>1593</v>
      </c>
      <c r="K34">
        <v>2981</v>
      </c>
      <c r="L34">
        <v>662</v>
      </c>
      <c r="M34">
        <v>1839</v>
      </c>
      <c r="N34">
        <v>65</v>
      </c>
      <c r="O34">
        <v>41</v>
      </c>
      <c r="P34">
        <v>60</v>
      </c>
    </row>
    <row r="35" spans="1:16" x14ac:dyDescent="0.25">
      <c r="A35">
        <v>233</v>
      </c>
      <c r="B35" t="s">
        <v>118</v>
      </c>
      <c r="C35" t="s">
        <v>221</v>
      </c>
      <c r="D35">
        <v>840001</v>
      </c>
      <c r="E35" t="s">
        <v>225</v>
      </c>
      <c r="F35">
        <v>9537</v>
      </c>
      <c r="G35" s="4">
        <v>706341</v>
      </c>
      <c r="H35">
        <v>722360</v>
      </c>
      <c r="I35">
        <v>11444</v>
      </c>
      <c r="J35">
        <v>691</v>
      </c>
      <c r="K35">
        <v>631</v>
      </c>
      <c r="L35">
        <v>562</v>
      </c>
      <c r="M35">
        <v>2670</v>
      </c>
      <c r="N35">
        <v>161</v>
      </c>
      <c r="O35">
        <v>210</v>
      </c>
      <c r="P35">
        <v>19</v>
      </c>
    </row>
    <row r="36" spans="1:16" x14ac:dyDescent="0.25">
      <c r="A36">
        <v>234</v>
      </c>
      <c r="B36" t="s">
        <v>119</v>
      </c>
      <c r="C36" t="s">
        <v>221</v>
      </c>
      <c r="D36">
        <v>660001</v>
      </c>
      <c r="E36" t="s">
        <v>224</v>
      </c>
      <c r="F36">
        <v>7471</v>
      </c>
      <c r="G36" s="4">
        <v>520759</v>
      </c>
      <c r="H36">
        <v>482365</v>
      </c>
      <c r="I36">
        <v>9606</v>
      </c>
      <c r="J36">
        <v>916</v>
      </c>
      <c r="K36">
        <v>891</v>
      </c>
      <c r="L36">
        <v>242</v>
      </c>
      <c r="M36">
        <v>1452</v>
      </c>
      <c r="N36">
        <v>14</v>
      </c>
      <c r="O36">
        <v>69</v>
      </c>
      <c r="P36">
        <v>5</v>
      </c>
    </row>
    <row r="37" spans="1:16" x14ac:dyDescent="0.25">
      <c r="A37">
        <v>235</v>
      </c>
      <c r="B37" t="s">
        <v>120</v>
      </c>
      <c r="C37" t="s">
        <v>221</v>
      </c>
      <c r="D37">
        <v>620001</v>
      </c>
      <c r="E37" t="s">
        <v>224</v>
      </c>
      <c r="F37">
        <v>7346</v>
      </c>
      <c r="G37" s="4">
        <v>784044</v>
      </c>
      <c r="H37">
        <v>36994578</v>
      </c>
      <c r="I37">
        <v>7346</v>
      </c>
      <c r="J37">
        <v>99</v>
      </c>
      <c r="K37">
        <v>1257</v>
      </c>
      <c r="L37">
        <v>150</v>
      </c>
      <c r="M37">
        <v>1933</v>
      </c>
      <c r="N37">
        <v>3</v>
      </c>
      <c r="O37">
        <v>99</v>
      </c>
      <c r="P37">
        <v>5</v>
      </c>
    </row>
    <row r="38" spans="1:16" x14ac:dyDescent="0.25">
      <c r="A38">
        <v>236</v>
      </c>
      <c r="B38" t="s">
        <v>121</v>
      </c>
      <c r="C38" t="s">
        <v>221</v>
      </c>
      <c r="D38">
        <v>880001</v>
      </c>
      <c r="E38" t="s">
        <v>225</v>
      </c>
      <c r="F38">
        <v>9191</v>
      </c>
      <c r="G38" s="4">
        <v>736929</v>
      </c>
      <c r="H38">
        <v>426208.76</v>
      </c>
      <c r="I38">
        <v>13587</v>
      </c>
      <c r="J38">
        <v>1222</v>
      </c>
      <c r="K38">
        <v>577</v>
      </c>
      <c r="L38">
        <v>341</v>
      </c>
      <c r="M38">
        <v>1452</v>
      </c>
      <c r="N38">
        <v>14</v>
      </c>
      <c r="O38">
        <v>16</v>
      </c>
      <c r="P38">
        <v>33</v>
      </c>
    </row>
    <row r="39" spans="1:16" x14ac:dyDescent="0.25">
      <c r="A39">
        <v>237</v>
      </c>
      <c r="B39" t="s">
        <v>1</v>
      </c>
      <c r="C39" t="s">
        <v>221</v>
      </c>
      <c r="D39">
        <v>900001</v>
      </c>
      <c r="E39" t="s">
        <v>229</v>
      </c>
      <c r="F39">
        <v>10095</v>
      </c>
      <c r="G39" s="4">
        <v>504329</v>
      </c>
      <c r="H39">
        <v>426208.76</v>
      </c>
      <c r="I39">
        <v>18408</v>
      </c>
      <c r="J39">
        <v>2750</v>
      </c>
      <c r="K39">
        <v>2244</v>
      </c>
      <c r="L39">
        <v>427</v>
      </c>
      <c r="M39">
        <v>4453</v>
      </c>
      <c r="N39">
        <v>75</v>
      </c>
      <c r="O39">
        <v>446</v>
      </c>
      <c r="P39">
        <v>80</v>
      </c>
    </row>
    <row r="40" spans="1:16" x14ac:dyDescent="0.25">
      <c r="B40" s="18"/>
      <c r="C40" s="1"/>
      <c r="D40" s="1"/>
      <c r="E40" s="1"/>
      <c r="F40" s="6"/>
      <c r="I40" s="6"/>
      <c r="M40" s="6"/>
      <c r="P40" s="19"/>
    </row>
    <row r="41" spans="1:16" customFormat="1" x14ac:dyDescent="0.25">
      <c r="B41" t="s">
        <v>0</v>
      </c>
      <c r="F41">
        <v>398291</v>
      </c>
      <c r="G41">
        <v>41469947</v>
      </c>
      <c r="H41">
        <v>73989158</v>
      </c>
      <c r="I41">
        <v>617249</v>
      </c>
      <c r="J41">
        <v>71288</v>
      </c>
      <c r="K41">
        <v>68171</v>
      </c>
      <c r="L41">
        <v>21264</v>
      </c>
      <c r="M41">
        <v>53198</v>
      </c>
      <c r="N41">
        <v>1793</v>
      </c>
      <c r="O41">
        <v>4673</v>
      </c>
      <c r="P41">
        <v>1652</v>
      </c>
    </row>
    <row r="42" spans="1:16" x14ac:dyDescent="0.25">
      <c r="B42" s="15" t="s">
        <v>176</v>
      </c>
      <c r="C42" s="22"/>
      <c r="D42" s="22"/>
      <c r="E42" s="22"/>
      <c r="F42" s="16">
        <v>9136</v>
      </c>
      <c r="G42" s="14">
        <v>1016997</v>
      </c>
      <c r="H42" s="16">
        <v>967431</v>
      </c>
      <c r="I42" s="16">
        <v>13587</v>
      </c>
      <c r="J42" s="16">
        <v>1593</v>
      </c>
      <c r="K42" s="16">
        <v>1257</v>
      </c>
      <c r="L42" s="16">
        <v>415</v>
      </c>
      <c r="M42" s="16">
        <v>1451.5</v>
      </c>
      <c r="N42" s="16">
        <v>32</v>
      </c>
      <c r="O42" s="16">
        <v>99</v>
      </c>
      <c r="P42" s="17">
        <v>32.5</v>
      </c>
    </row>
  </sheetData>
  <conditionalFormatting sqref="F1 F40 H42:P42 F49:F1048576 F42:F44">
    <cfRule type="cellIs" dxfId="21" priority="23" operator="greaterThan">
      <formula>15000</formula>
    </cfRule>
  </conditionalFormatting>
  <conditionalFormatting sqref="G40 G42">
    <cfRule type="cellIs" dxfId="20" priority="21" operator="greaterThan">
      <formula>3450000</formula>
    </cfRule>
    <cfRule type="cellIs" dxfId="19" priority="22" operator="greaterThan">
      <formula>3450000</formula>
    </cfRule>
  </conditionalFormatting>
  <conditionalFormatting sqref="I40">
    <cfRule type="cellIs" dxfId="18" priority="19" operator="greaterThan">
      <formula>36000</formula>
    </cfRule>
  </conditionalFormatting>
  <conditionalFormatting sqref="J40">
    <cfRule type="cellIs" dxfId="17" priority="18" operator="greaterThan">
      <formula>6000</formula>
    </cfRule>
  </conditionalFormatting>
  <conditionalFormatting sqref="K40">
    <cfRule type="cellIs" dxfId="16" priority="17" operator="greaterThan">
      <formula>7000</formula>
    </cfRule>
  </conditionalFormatting>
  <conditionalFormatting sqref="L40">
    <cfRule type="cellIs" dxfId="15" priority="16" operator="greaterThan">
      <formula>1200</formula>
    </cfRule>
  </conditionalFormatting>
  <conditionalFormatting sqref="M40">
    <cfRule type="cellIs" dxfId="14" priority="15" operator="greaterThan">
      <formula>4453</formula>
    </cfRule>
  </conditionalFormatting>
  <conditionalFormatting sqref="N40">
    <cfRule type="cellIs" dxfId="13" priority="14" operator="greaterThan">
      <formula>142</formula>
    </cfRule>
  </conditionalFormatting>
  <conditionalFormatting sqref="O40">
    <cfRule type="cellIs" dxfId="12" priority="13" operator="greaterThan">
      <formula>446</formula>
    </cfRule>
  </conditionalFormatting>
  <conditionalFormatting sqref="P40">
    <cfRule type="cellIs" dxfId="11" priority="12" operator="greaterThan">
      <formula>145</formula>
    </cfRule>
  </conditionalFormatting>
  <conditionalFormatting sqref="F3:F39">
    <cfRule type="cellIs" dxfId="10" priority="11" operator="greaterThan">
      <formula>15820</formula>
    </cfRule>
  </conditionalFormatting>
  <conditionalFormatting sqref="G3:G39">
    <cfRule type="cellIs" dxfId="9" priority="10" operator="greaterThan">
      <formula>3329156</formula>
    </cfRule>
  </conditionalFormatting>
  <conditionalFormatting sqref="H3:H39">
    <cfRule type="cellIs" dxfId="8" priority="9" operator="greaterThan">
      <formula>3224232</formula>
    </cfRule>
  </conditionalFormatting>
  <conditionalFormatting sqref="I3:I39">
    <cfRule type="cellIs" dxfId="7" priority="8" operator="greaterThan">
      <formula>37135</formula>
    </cfRule>
  </conditionalFormatting>
  <conditionalFormatting sqref="J3:J39">
    <cfRule type="cellIs" dxfId="6" priority="7" operator="greaterThan">
      <formula>6039</formula>
    </cfRule>
  </conditionalFormatting>
  <conditionalFormatting sqref="K3:K39">
    <cfRule type="cellIs" dxfId="5" priority="6" operator="greaterThan">
      <formula>7468</formula>
    </cfRule>
  </conditionalFormatting>
  <conditionalFormatting sqref="L3:L39">
    <cfRule type="cellIs" dxfId="4" priority="5" operator="greaterThan">
      <formula>1137</formula>
    </cfRule>
  </conditionalFormatting>
  <conditionalFormatting sqref="M3:M39">
    <cfRule type="cellIs" dxfId="3" priority="4" operator="greaterThan">
      <formula>4453</formula>
    </cfRule>
  </conditionalFormatting>
  <conditionalFormatting sqref="N3:N39">
    <cfRule type="cellIs" dxfId="2" priority="3" operator="greaterThan">
      <formula>143</formula>
    </cfRule>
  </conditionalFormatting>
  <conditionalFormatting sqref="O3:O39">
    <cfRule type="cellIs" dxfId="1" priority="2" operator="greaterThan">
      <formula>446</formula>
    </cfRule>
  </conditionalFormatting>
  <conditionalFormatting sqref="P3:P39">
    <cfRule type="cellIs" dxfId="0" priority="1" operator="greaterThan">
      <formula>145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6BC89-7A96-449B-8E63-4C2565DE1035}">
  <sheetPr codeName="Sheet22"/>
  <dimension ref="A1"/>
  <sheetViews>
    <sheetView topLeftCell="A18" workbookViewId="0">
      <selection activeCell="L39" sqref="L3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D824C-C3A4-4210-B187-C665B0D84433}">
  <sheetPr codeName="Sheet2"/>
  <dimension ref="A1:G25"/>
  <sheetViews>
    <sheetView workbookViewId="0">
      <selection activeCell="C18" sqref="C18"/>
    </sheetView>
  </sheetViews>
  <sheetFormatPr defaultRowHeight="15" x14ac:dyDescent="0.25"/>
  <cols>
    <col min="1" max="1" width="17.7109375" customWidth="1"/>
    <col min="2" max="2" width="16.7109375" customWidth="1"/>
    <col min="3" max="3" width="67.85546875" bestFit="1" customWidth="1"/>
    <col min="4" max="5" width="13.7109375" style="2" customWidth="1"/>
    <col min="6" max="6" width="13.42578125" style="2" customWidth="1"/>
    <col min="7" max="7" width="16.140625" style="2" customWidth="1"/>
  </cols>
  <sheetData>
    <row r="1" spans="1:7" x14ac:dyDescent="0.25">
      <c r="C1" t="s">
        <v>218</v>
      </c>
      <c r="F1" s="2" t="s">
        <v>63</v>
      </c>
    </row>
    <row r="2" spans="1:7" x14ac:dyDescent="0.25">
      <c r="A2" t="s">
        <v>230</v>
      </c>
      <c r="B2" t="s">
        <v>246</v>
      </c>
      <c r="C2" t="s">
        <v>71</v>
      </c>
      <c r="D2" t="s">
        <v>72</v>
      </c>
      <c r="E2" t="s">
        <v>70</v>
      </c>
      <c r="F2" t="s">
        <v>74</v>
      </c>
      <c r="G2" t="s">
        <v>42</v>
      </c>
    </row>
    <row r="3" spans="1:7" x14ac:dyDescent="0.25">
      <c r="A3">
        <v>81</v>
      </c>
      <c r="B3">
        <v>121</v>
      </c>
      <c r="C3" t="s">
        <v>50</v>
      </c>
      <c r="D3">
        <v>5994179</v>
      </c>
      <c r="E3">
        <v>3300778</v>
      </c>
      <c r="F3">
        <v>386</v>
      </c>
      <c r="G3">
        <v>0</v>
      </c>
    </row>
    <row r="4" spans="1:7" x14ac:dyDescent="0.25">
      <c r="A4">
        <v>82</v>
      </c>
      <c r="B4">
        <v>122</v>
      </c>
      <c r="C4" t="s">
        <v>51</v>
      </c>
      <c r="D4">
        <v>74815.5</v>
      </c>
      <c r="E4">
        <v>70443</v>
      </c>
      <c r="F4">
        <v>172</v>
      </c>
      <c r="G4">
        <v>28</v>
      </c>
    </row>
    <row r="5" spans="1:7" x14ac:dyDescent="0.25">
      <c r="A5">
        <v>83</v>
      </c>
      <c r="B5">
        <v>123</v>
      </c>
      <c r="C5" t="s">
        <v>52</v>
      </c>
      <c r="D5">
        <v>4304843.5</v>
      </c>
      <c r="E5">
        <v>4887395</v>
      </c>
      <c r="F5">
        <v>16322</v>
      </c>
      <c r="G5">
        <v>772</v>
      </c>
    </row>
    <row r="6" spans="1:7" x14ac:dyDescent="0.25">
      <c r="A6">
        <v>84</v>
      </c>
      <c r="B6">
        <v>124</v>
      </c>
      <c r="C6" s="29" t="s">
        <v>255</v>
      </c>
      <c r="D6">
        <v>43794.5</v>
      </c>
      <c r="E6">
        <v>7875</v>
      </c>
      <c r="F6">
        <v>9</v>
      </c>
      <c r="G6">
        <v>0</v>
      </c>
    </row>
    <row r="7" spans="1:7" x14ac:dyDescent="0.25">
      <c r="A7">
        <v>85</v>
      </c>
      <c r="B7">
        <v>125</v>
      </c>
      <c r="C7" t="s">
        <v>53</v>
      </c>
      <c r="D7">
        <v>817971</v>
      </c>
      <c r="E7">
        <v>731303</v>
      </c>
      <c r="F7">
        <v>423</v>
      </c>
      <c r="G7">
        <v>83</v>
      </c>
    </row>
    <row r="8" spans="1:7" x14ac:dyDescent="0.25">
      <c r="A8">
        <v>86</v>
      </c>
      <c r="B8">
        <v>126</v>
      </c>
      <c r="C8" t="s">
        <v>54</v>
      </c>
      <c r="D8">
        <v>18785742</v>
      </c>
      <c r="E8">
        <v>20224627</v>
      </c>
      <c r="F8">
        <v>12889</v>
      </c>
      <c r="G8">
        <v>241</v>
      </c>
    </row>
    <row r="9" spans="1:7" x14ac:dyDescent="0.25">
      <c r="A9">
        <v>87</v>
      </c>
      <c r="B9">
        <v>127</v>
      </c>
      <c r="C9" t="s">
        <v>55</v>
      </c>
      <c r="D9">
        <v>1471189</v>
      </c>
      <c r="E9">
        <v>1760932</v>
      </c>
      <c r="F9">
        <v>699</v>
      </c>
      <c r="G9">
        <v>49</v>
      </c>
    </row>
    <row r="10" spans="1:7" x14ac:dyDescent="0.25">
      <c r="A10">
        <v>88</v>
      </c>
      <c r="B10">
        <v>128</v>
      </c>
      <c r="C10" t="s">
        <v>56</v>
      </c>
      <c r="D10">
        <v>2141312</v>
      </c>
      <c r="E10">
        <v>2039517</v>
      </c>
      <c r="F10">
        <v>5940</v>
      </c>
      <c r="G10">
        <v>168</v>
      </c>
    </row>
    <row r="11" spans="1:7" x14ac:dyDescent="0.25">
      <c r="A11">
        <v>89</v>
      </c>
      <c r="B11">
        <v>129</v>
      </c>
      <c r="C11" t="s">
        <v>57</v>
      </c>
      <c r="D11">
        <v>231854.5</v>
      </c>
      <c r="E11">
        <v>335604</v>
      </c>
      <c r="F11">
        <v>573</v>
      </c>
      <c r="G11">
        <v>48</v>
      </c>
    </row>
    <row r="12" spans="1:7" x14ac:dyDescent="0.25">
      <c r="A12">
        <v>90</v>
      </c>
      <c r="B12">
        <v>130</v>
      </c>
      <c r="C12" t="s">
        <v>58</v>
      </c>
      <c r="D12">
        <v>74953</v>
      </c>
      <c r="E12">
        <v>108391</v>
      </c>
      <c r="F12">
        <v>1073</v>
      </c>
      <c r="G12">
        <v>0</v>
      </c>
    </row>
    <row r="13" spans="1:7" x14ac:dyDescent="0.25">
      <c r="A13">
        <v>91</v>
      </c>
      <c r="B13">
        <v>131</v>
      </c>
      <c r="C13" t="s">
        <v>256</v>
      </c>
      <c r="D13">
        <v>422492</v>
      </c>
      <c r="E13">
        <v>560956</v>
      </c>
      <c r="F13">
        <v>2772</v>
      </c>
      <c r="G13">
        <v>1</v>
      </c>
    </row>
    <row r="14" spans="1:7" x14ac:dyDescent="0.25">
      <c r="A14">
        <v>92</v>
      </c>
      <c r="B14">
        <v>132</v>
      </c>
      <c r="C14" t="s">
        <v>59</v>
      </c>
      <c r="D14">
        <v>117672</v>
      </c>
      <c r="E14">
        <v>213724</v>
      </c>
      <c r="F14">
        <v>956</v>
      </c>
      <c r="G14">
        <v>15</v>
      </c>
    </row>
    <row r="15" spans="1:7" x14ac:dyDescent="0.25">
      <c r="A15">
        <v>93</v>
      </c>
      <c r="B15">
        <v>133</v>
      </c>
      <c r="C15" t="s">
        <v>60</v>
      </c>
      <c r="D15">
        <v>74175</v>
      </c>
      <c r="E15">
        <v>104420</v>
      </c>
      <c r="F15">
        <v>19587</v>
      </c>
      <c r="G15">
        <v>132</v>
      </c>
    </row>
    <row r="16" spans="1:7" x14ac:dyDescent="0.25">
      <c r="A16">
        <v>94</v>
      </c>
      <c r="B16">
        <v>134</v>
      </c>
      <c r="C16" t="s">
        <v>61</v>
      </c>
      <c r="D16">
        <v>233942</v>
      </c>
      <c r="E16">
        <v>560956</v>
      </c>
      <c r="F16">
        <v>7377</v>
      </c>
      <c r="G16">
        <v>219</v>
      </c>
    </row>
    <row r="17" spans="1:7" x14ac:dyDescent="0.25">
      <c r="A17">
        <v>95</v>
      </c>
      <c r="B17">
        <v>135</v>
      </c>
      <c r="C17" t="s">
        <v>257</v>
      </c>
      <c r="D17">
        <v>170227.5</v>
      </c>
      <c r="E17">
        <v>390609</v>
      </c>
      <c r="F17">
        <v>188</v>
      </c>
      <c r="G17">
        <v>1</v>
      </c>
    </row>
    <row r="18" spans="1:7" x14ac:dyDescent="0.25">
      <c r="A18">
        <v>96</v>
      </c>
      <c r="B18">
        <v>136</v>
      </c>
      <c r="C18" t="s">
        <v>62</v>
      </c>
      <c r="D18">
        <v>4132028</v>
      </c>
      <c r="E18">
        <v>2927351</v>
      </c>
      <c r="F18">
        <v>1924</v>
      </c>
      <c r="G18">
        <v>34</v>
      </c>
    </row>
    <row r="19" spans="1:7" x14ac:dyDescent="0.25">
      <c r="A19">
        <v>97</v>
      </c>
      <c r="B19">
        <v>137</v>
      </c>
      <c r="C19" t="s">
        <v>64</v>
      </c>
      <c r="D19">
        <v>334471.5</v>
      </c>
      <c r="E19">
        <v>560956</v>
      </c>
      <c r="F19">
        <v>4455.625</v>
      </c>
      <c r="G19">
        <v>112</v>
      </c>
    </row>
    <row r="20" spans="1:7" x14ac:dyDescent="0.25">
      <c r="A20">
        <v>98</v>
      </c>
      <c r="B20">
        <v>138</v>
      </c>
      <c r="C20" t="s">
        <v>65</v>
      </c>
      <c r="D20">
        <v>262586.5</v>
      </c>
      <c r="E20">
        <v>560956</v>
      </c>
      <c r="F20">
        <v>4455.625</v>
      </c>
      <c r="G20">
        <v>112</v>
      </c>
    </row>
    <row r="21" spans="1:7" x14ac:dyDescent="0.25">
      <c r="A21">
        <v>99</v>
      </c>
      <c r="B21">
        <v>139</v>
      </c>
      <c r="C21" t="s">
        <v>66</v>
      </c>
      <c r="D21">
        <v>246045.5</v>
      </c>
      <c r="E21">
        <v>560956</v>
      </c>
      <c r="F21">
        <v>4455.625</v>
      </c>
      <c r="G21">
        <v>112</v>
      </c>
    </row>
    <row r="23" spans="1:7" x14ac:dyDescent="0.25">
      <c r="C23" t="s">
        <v>0</v>
      </c>
      <c r="D23" s="2">
        <v>39934294</v>
      </c>
      <c r="E23" s="2">
        <v>37102969</v>
      </c>
      <c r="F23" s="2">
        <v>71290</v>
      </c>
      <c r="G23" s="2">
        <v>1791</v>
      </c>
    </row>
    <row r="24" spans="1:7" x14ac:dyDescent="0.25">
      <c r="C24" t="s">
        <v>176</v>
      </c>
      <c r="D24" s="2">
        <v>262586.5</v>
      </c>
      <c r="E24" s="2">
        <v>560956</v>
      </c>
      <c r="F24" s="2">
        <v>1014.5</v>
      </c>
      <c r="G24" s="2">
        <v>41</v>
      </c>
    </row>
    <row r="25" spans="1:7" x14ac:dyDescent="0.25">
      <c r="C25" t="s">
        <v>182</v>
      </c>
      <c r="D25" s="2">
        <v>2101804.9473684211</v>
      </c>
      <c r="E25" s="2">
        <v>2650212.0714285714</v>
      </c>
      <c r="F25" s="2">
        <v>4455.625</v>
      </c>
      <c r="G25" s="2">
        <v>111.9375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192E9-16E3-4A87-ABB6-03232FB4F364}">
  <sheetPr codeName="Sheet4"/>
  <dimension ref="A1:Q41"/>
  <sheetViews>
    <sheetView topLeftCell="A2" zoomScaleNormal="100" workbookViewId="0">
      <selection activeCell="C25" sqref="A1:XFD1048576"/>
    </sheetView>
  </sheetViews>
  <sheetFormatPr defaultRowHeight="12.75" x14ac:dyDescent="0.2"/>
  <cols>
    <col min="1" max="1" width="18.140625" style="23" customWidth="1"/>
    <col min="2" max="2" width="25.28515625" style="23" bestFit="1" customWidth="1"/>
    <col min="3" max="3" width="50.85546875" style="25" bestFit="1" customWidth="1"/>
    <col min="4" max="4" width="9.42578125" style="25" customWidth="1"/>
    <col min="5" max="5" width="9.85546875" style="25" customWidth="1"/>
    <col min="6" max="6" width="11.5703125" style="25" bestFit="1" customWidth="1"/>
    <col min="7" max="7" width="12.5703125" style="25" customWidth="1"/>
    <col min="8" max="8" width="14.42578125" style="23" customWidth="1"/>
    <col min="9" max="9" width="12.5703125" style="25" customWidth="1"/>
    <col min="10" max="10" width="14" style="25" customWidth="1"/>
    <col min="11" max="11" width="12.140625" style="25" customWidth="1"/>
    <col min="12" max="12" width="14" style="25" customWidth="1"/>
    <col min="13" max="13" width="12.140625" style="25" customWidth="1"/>
    <col min="14" max="14" width="14" style="25" customWidth="1"/>
    <col min="15" max="15" width="12.140625" style="25" customWidth="1"/>
    <col min="16" max="16" width="14" style="25" customWidth="1"/>
    <col min="17" max="16384" width="9.140625" style="23"/>
  </cols>
  <sheetData>
    <row r="1" spans="1:17" x14ac:dyDescent="0.2">
      <c r="C1" s="24" t="s">
        <v>68</v>
      </c>
      <c r="D1" s="24"/>
      <c r="E1" s="24"/>
      <c r="F1" s="24"/>
      <c r="H1" s="25"/>
      <c r="I1" s="24"/>
      <c r="J1" s="26"/>
      <c r="K1" s="27"/>
      <c r="Q1" s="25"/>
    </row>
    <row r="2" spans="1:17" s="28" customFormat="1" x14ac:dyDescent="0.2">
      <c r="A2" s="28" t="s">
        <v>239</v>
      </c>
      <c r="B2" s="28" t="s">
        <v>240</v>
      </c>
      <c r="C2" s="28" t="s">
        <v>81</v>
      </c>
      <c r="D2" s="28" t="s">
        <v>220</v>
      </c>
      <c r="E2" s="28" t="s">
        <v>222</v>
      </c>
      <c r="F2" s="28" t="s">
        <v>223</v>
      </c>
      <c r="G2" s="28" t="s">
        <v>84</v>
      </c>
      <c r="H2" s="28" t="s">
        <v>85</v>
      </c>
      <c r="I2" s="28" t="s">
        <v>82</v>
      </c>
      <c r="J2" s="28" t="s">
        <v>83</v>
      </c>
      <c r="K2" s="28" t="s">
        <v>4</v>
      </c>
      <c r="L2" s="28" t="s">
        <v>5</v>
      </c>
      <c r="M2" s="28" t="s">
        <v>6</v>
      </c>
      <c r="N2" s="28" t="s">
        <v>7</v>
      </c>
      <c r="O2" s="28" t="s">
        <v>79</v>
      </c>
      <c r="P2" s="28" t="s">
        <v>80</v>
      </c>
      <c r="Q2" s="25"/>
    </row>
    <row r="3" spans="1:17" x14ac:dyDescent="0.2">
      <c r="A3" s="28">
        <v>481</v>
      </c>
      <c r="B3" s="28">
        <v>521</v>
      </c>
      <c r="C3" s="28" t="s">
        <v>86</v>
      </c>
      <c r="D3" s="28" t="s">
        <v>221</v>
      </c>
      <c r="E3" s="28">
        <v>440001</v>
      </c>
      <c r="F3" s="28" t="s">
        <v>226</v>
      </c>
      <c r="G3" s="28">
        <v>1093463</v>
      </c>
      <c r="H3" s="28">
        <v>874947</v>
      </c>
      <c r="I3" s="28">
        <v>66931</v>
      </c>
      <c r="J3" s="28">
        <v>73182</v>
      </c>
      <c r="K3" s="28">
        <v>38817</v>
      </c>
      <c r="L3" s="28">
        <v>53925</v>
      </c>
      <c r="M3" s="28">
        <v>28851</v>
      </c>
      <c r="N3" s="28">
        <v>11062</v>
      </c>
      <c r="O3" s="28">
        <v>17575</v>
      </c>
      <c r="P3" s="28">
        <v>5412</v>
      </c>
    </row>
    <row r="4" spans="1:17" x14ac:dyDescent="0.2">
      <c r="A4" s="28">
        <v>482</v>
      </c>
      <c r="B4" s="28">
        <v>522</v>
      </c>
      <c r="C4" s="28" t="s">
        <v>87</v>
      </c>
      <c r="D4" s="28" t="s">
        <v>221</v>
      </c>
      <c r="E4" s="28">
        <v>640001</v>
      </c>
      <c r="F4" s="28" t="s">
        <v>224</v>
      </c>
      <c r="G4" s="28">
        <v>873835</v>
      </c>
      <c r="H4" s="28">
        <v>550771</v>
      </c>
      <c r="I4" s="28">
        <v>103370</v>
      </c>
      <c r="J4" s="28">
        <v>43444</v>
      </c>
      <c r="K4" s="28">
        <v>22413</v>
      </c>
      <c r="L4" s="28">
        <v>6536</v>
      </c>
      <c r="M4" s="28">
        <v>21987</v>
      </c>
      <c r="N4" s="28">
        <v>13798</v>
      </c>
      <c r="O4" s="28">
        <v>6045</v>
      </c>
      <c r="P4" s="28">
        <v>5265</v>
      </c>
    </row>
    <row r="5" spans="1:17" x14ac:dyDescent="0.2">
      <c r="A5" s="28">
        <v>483</v>
      </c>
      <c r="B5" s="28">
        <v>523</v>
      </c>
      <c r="C5" s="28" t="s">
        <v>88</v>
      </c>
      <c r="D5" s="28" t="s">
        <v>221</v>
      </c>
      <c r="E5" s="28">
        <v>520001</v>
      </c>
      <c r="F5" s="28" t="s">
        <v>227</v>
      </c>
      <c r="G5" s="28">
        <v>1101991</v>
      </c>
      <c r="H5" s="28">
        <v>1062345</v>
      </c>
      <c r="I5" s="28">
        <v>106524</v>
      </c>
      <c r="J5" s="28">
        <v>96419</v>
      </c>
      <c r="K5" s="28">
        <v>28213</v>
      </c>
      <c r="L5" s="28">
        <v>46546</v>
      </c>
      <c r="M5" s="28">
        <v>11226</v>
      </c>
      <c r="N5" s="28">
        <v>33069</v>
      </c>
      <c r="O5" s="28">
        <v>6838</v>
      </c>
      <c r="P5" s="28">
        <v>16181</v>
      </c>
    </row>
    <row r="6" spans="1:17" x14ac:dyDescent="0.2">
      <c r="A6" s="28">
        <v>484</v>
      </c>
      <c r="B6" s="28">
        <v>524</v>
      </c>
      <c r="C6" s="28" t="s">
        <v>89</v>
      </c>
      <c r="D6" s="28" t="s">
        <v>221</v>
      </c>
      <c r="E6" s="28">
        <v>420001</v>
      </c>
      <c r="F6" s="28" t="s">
        <v>226</v>
      </c>
      <c r="G6" s="28">
        <v>741653</v>
      </c>
      <c r="H6" s="28">
        <v>699395</v>
      </c>
      <c r="I6" s="28">
        <v>49841</v>
      </c>
      <c r="J6" s="28">
        <v>54148</v>
      </c>
      <c r="K6" s="28">
        <v>19840</v>
      </c>
      <c r="L6" s="28">
        <v>39776</v>
      </c>
      <c r="M6" s="28">
        <v>20570</v>
      </c>
      <c r="N6" s="28">
        <v>9781</v>
      </c>
      <c r="O6" s="28">
        <v>12530</v>
      </c>
      <c r="P6" s="28">
        <v>4786</v>
      </c>
    </row>
    <row r="7" spans="1:17" x14ac:dyDescent="0.2">
      <c r="A7" s="28">
        <v>485</v>
      </c>
      <c r="B7" s="28">
        <v>525</v>
      </c>
      <c r="C7" s="28" t="s">
        <v>90</v>
      </c>
      <c r="D7" s="28" t="s">
        <v>221</v>
      </c>
      <c r="E7" s="28">
        <v>740001</v>
      </c>
      <c r="F7" s="28" t="s">
        <v>224</v>
      </c>
      <c r="G7" s="28">
        <v>1282225</v>
      </c>
      <c r="H7" s="28">
        <v>23426</v>
      </c>
      <c r="I7" s="28">
        <v>132151</v>
      </c>
      <c r="J7" s="28">
        <v>42778</v>
      </c>
      <c r="K7" s="28">
        <v>66738</v>
      </c>
      <c r="L7" s="28">
        <v>21665</v>
      </c>
      <c r="M7" s="28">
        <v>26460</v>
      </c>
      <c r="N7" s="28">
        <v>30624</v>
      </c>
      <c r="O7" s="28">
        <v>16118</v>
      </c>
      <c r="P7" s="28">
        <v>14984</v>
      </c>
    </row>
    <row r="8" spans="1:17" x14ac:dyDescent="0.2">
      <c r="A8" s="28">
        <v>486</v>
      </c>
      <c r="B8" s="28">
        <v>526</v>
      </c>
      <c r="C8" s="28" t="s">
        <v>91</v>
      </c>
      <c r="D8" s="28" t="s">
        <v>221</v>
      </c>
      <c r="E8" s="28">
        <v>561001</v>
      </c>
      <c r="F8" s="28" t="s">
        <v>227</v>
      </c>
      <c r="G8" s="28">
        <v>325322</v>
      </c>
      <c r="H8" s="28">
        <v>293108</v>
      </c>
      <c r="I8" s="28">
        <v>69840</v>
      </c>
      <c r="J8" s="28">
        <v>45703</v>
      </c>
      <c r="K8" s="28">
        <v>4669</v>
      </c>
      <c r="L8" s="28">
        <v>7214</v>
      </c>
      <c r="M8" s="28">
        <v>4451</v>
      </c>
      <c r="N8" s="28">
        <v>10829</v>
      </c>
      <c r="O8" s="28">
        <v>2711</v>
      </c>
      <c r="P8" s="28">
        <v>5299</v>
      </c>
    </row>
    <row r="9" spans="1:17" x14ac:dyDescent="0.2">
      <c r="A9" s="28">
        <v>487</v>
      </c>
      <c r="B9" s="28">
        <v>527</v>
      </c>
      <c r="C9" s="28" t="s">
        <v>92</v>
      </c>
      <c r="D9" s="28" t="s">
        <v>221</v>
      </c>
      <c r="E9" s="28">
        <v>970001</v>
      </c>
      <c r="F9" s="28" t="s">
        <v>229</v>
      </c>
      <c r="G9" s="28">
        <v>1147627</v>
      </c>
      <c r="H9" s="28">
        <v>819527</v>
      </c>
      <c r="I9" s="28">
        <v>126499</v>
      </c>
      <c r="J9" s="28">
        <v>93638</v>
      </c>
      <c r="K9" s="28">
        <v>39975</v>
      </c>
      <c r="L9" s="28">
        <v>31625</v>
      </c>
      <c r="M9" s="28">
        <v>22961</v>
      </c>
      <c r="N9" s="28">
        <v>466</v>
      </c>
      <c r="O9" s="28">
        <v>13987</v>
      </c>
      <c r="P9" s="28">
        <v>228</v>
      </c>
    </row>
    <row r="10" spans="1:17" x14ac:dyDescent="0.2">
      <c r="A10" s="28">
        <v>488</v>
      </c>
      <c r="B10" s="28">
        <v>528</v>
      </c>
      <c r="C10" s="28" t="s">
        <v>93</v>
      </c>
      <c r="D10" s="28" t="s">
        <v>221</v>
      </c>
      <c r="E10" s="28">
        <v>600001</v>
      </c>
      <c r="F10" s="28" t="s">
        <v>224</v>
      </c>
      <c r="G10" s="28">
        <v>873835</v>
      </c>
      <c r="H10" s="28">
        <v>550771</v>
      </c>
      <c r="I10" s="28">
        <v>110500</v>
      </c>
      <c r="J10" s="28">
        <v>30044</v>
      </c>
      <c r="K10" s="28">
        <v>15037</v>
      </c>
      <c r="L10" s="28">
        <v>6198</v>
      </c>
      <c r="M10" s="28">
        <v>21987</v>
      </c>
      <c r="N10" s="28">
        <v>13798</v>
      </c>
      <c r="O10" s="28">
        <v>8000</v>
      </c>
      <c r="P10" s="28">
        <v>11000</v>
      </c>
    </row>
    <row r="11" spans="1:17" x14ac:dyDescent="0.2">
      <c r="A11" s="28">
        <v>489</v>
      </c>
      <c r="B11" s="28">
        <v>529</v>
      </c>
      <c r="C11" s="28" t="s">
        <v>94</v>
      </c>
      <c r="D11" s="28" t="s">
        <v>221</v>
      </c>
      <c r="E11" s="28">
        <v>540001</v>
      </c>
      <c r="F11" s="28" t="s">
        <v>227</v>
      </c>
      <c r="G11" s="28">
        <v>804170</v>
      </c>
      <c r="H11" s="28">
        <v>643940</v>
      </c>
      <c r="I11" s="28">
        <v>123567</v>
      </c>
      <c r="J11" s="28">
        <v>122386</v>
      </c>
      <c r="K11" s="28">
        <v>31592</v>
      </c>
      <c r="L11" s="28">
        <v>25979</v>
      </c>
      <c r="M11" s="28">
        <v>12156</v>
      </c>
      <c r="N11" s="28">
        <v>30973</v>
      </c>
      <c r="O11" s="28">
        <v>7405</v>
      </c>
      <c r="P11" s="28">
        <v>15155</v>
      </c>
    </row>
    <row r="12" spans="1:17" x14ac:dyDescent="0.2">
      <c r="A12" s="28">
        <v>490</v>
      </c>
      <c r="B12" s="28">
        <v>530</v>
      </c>
      <c r="C12" s="28" t="s">
        <v>95</v>
      </c>
      <c r="D12" s="28" t="s">
        <v>221</v>
      </c>
      <c r="E12" s="28">
        <v>320001</v>
      </c>
      <c r="F12" s="28" t="s">
        <v>227</v>
      </c>
      <c r="G12" s="28">
        <v>533737</v>
      </c>
      <c r="H12" s="28">
        <v>1869839</v>
      </c>
      <c r="I12" s="28">
        <v>157959</v>
      </c>
      <c r="J12" s="28">
        <v>150555</v>
      </c>
      <c r="K12" s="28">
        <v>28618</v>
      </c>
      <c r="L12" s="28">
        <v>31694</v>
      </c>
      <c r="M12" s="28">
        <v>21013</v>
      </c>
      <c r="N12" s="28">
        <v>10884</v>
      </c>
      <c r="O12" s="28">
        <v>12800</v>
      </c>
      <c r="P12" s="28">
        <v>5325</v>
      </c>
    </row>
    <row r="13" spans="1:17" x14ac:dyDescent="0.2">
      <c r="A13" s="28">
        <v>491</v>
      </c>
      <c r="B13" s="28">
        <v>531</v>
      </c>
      <c r="C13" s="28" t="s">
        <v>96</v>
      </c>
      <c r="D13" s="28" t="s">
        <v>221</v>
      </c>
      <c r="E13" s="28">
        <v>840001</v>
      </c>
      <c r="F13" s="28" t="s">
        <v>226</v>
      </c>
      <c r="G13" s="28">
        <v>889667</v>
      </c>
      <c r="H13" s="28">
        <v>240756</v>
      </c>
      <c r="I13" s="28">
        <v>84415</v>
      </c>
      <c r="J13" s="28">
        <v>109453</v>
      </c>
      <c r="K13" s="28">
        <v>41798</v>
      </c>
      <c r="L13" s="28">
        <v>54531</v>
      </c>
      <c r="M13" s="28">
        <v>24223</v>
      </c>
      <c r="N13" s="28">
        <v>6000</v>
      </c>
      <c r="O13" s="28">
        <v>14756</v>
      </c>
      <c r="P13" s="28">
        <v>2936</v>
      </c>
    </row>
    <row r="14" spans="1:17" x14ac:dyDescent="0.2">
      <c r="A14" s="28">
        <v>492</v>
      </c>
      <c r="B14" s="28">
        <v>532</v>
      </c>
      <c r="C14" s="28" t="s">
        <v>97</v>
      </c>
      <c r="D14" s="28" t="s">
        <v>221</v>
      </c>
      <c r="E14" s="28">
        <v>300001</v>
      </c>
      <c r="F14" s="28" t="s">
        <v>227</v>
      </c>
      <c r="G14" s="28">
        <v>755873</v>
      </c>
      <c r="H14" s="28">
        <v>527277</v>
      </c>
      <c r="I14" s="28">
        <v>92247</v>
      </c>
      <c r="J14" s="28">
        <v>59061</v>
      </c>
      <c r="K14" s="28">
        <v>61024</v>
      </c>
      <c r="L14" s="28">
        <v>44793</v>
      </c>
      <c r="M14" s="28">
        <v>36291</v>
      </c>
      <c r="N14" s="28">
        <v>11877</v>
      </c>
      <c r="O14" s="28">
        <v>22107</v>
      </c>
      <c r="P14" s="28">
        <v>5811</v>
      </c>
    </row>
    <row r="15" spans="1:17" x14ac:dyDescent="0.2">
      <c r="A15" s="28">
        <v>493</v>
      </c>
      <c r="B15" s="28">
        <v>533</v>
      </c>
      <c r="C15" s="28" t="s">
        <v>98</v>
      </c>
      <c r="D15" s="28" t="s">
        <v>221</v>
      </c>
      <c r="E15" s="28">
        <v>360001</v>
      </c>
      <c r="F15" s="28" t="s">
        <v>228</v>
      </c>
      <c r="G15" s="28">
        <v>716777</v>
      </c>
      <c r="H15" s="28">
        <v>723993</v>
      </c>
      <c r="I15" s="28">
        <v>101375</v>
      </c>
      <c r="J15" s="28">
        <v>87551</v>
      </c>
      <c r="K15" s="28">
        <v>21264</v>
      </c>
      <c r="L15" s="28">
        <v>15417</v>
      </c>
      <c r="M15" s="28">
        <v>11935</v>
      </c>
      <c r="N15" s="28">
        <v>26548</v>
      </c>
      <c r="O15" s="28">
        <v>7270</v>
      </c>
      <c r="P15" s="28">
        <v>12990</v>
      </c>
    </row>
    <row r="16" spans="1:17" x14ac:dyDescent="0.2">
      <c r="A16" s="28">
        <v>494</v>
      </c>
      <c r="B16" s="28">
        <v>534</v>
      </c>
      <c r="C16" s="28" t="s">
        <v>99</v>
      </c>
      <c r="D16" s="28" t="s">
        <v>221</v>
      </c>
      <c r="E16" s="28">
        <v>400001</v>
      </c>
      <c r="F16" s="28" t="s">
        <v>226</v>
      </c>
      <c r="G16" s="28">
        <v>855020</v>
      </c>
      <c r="H16" s="28">
        <v>601920</v>
      </c>
      <c r="I16" s="28">
        <v>75140</v>
      </c>
      <c r="J16" s="28">
        <v>97728</v>
      </c>
      <c r="K16" s="28">
        <v>29020</v>
      </c>
      <c r="L16" s="28">
        <v>27626</v>
      </c>
      <c r="M16" s="28">
        <v>12687</v>
      </c>
      <c r="N16" s="28">
        <v>15603</v>
      </c>
      <c r="O16" s="28">
        <v>7729</v>
      </c>
      <c r="P16" s="28">
        <v>7634</v>
      </c>
    </row>
    <row r="17" spans="1:16" x14ac:dyDescent="0.2">
      <c r="A17" s="28">
        <v>495</v>
      </c>
      <c r="B17" s="28">
        <v>535</v>
      </c>
      <c r="C17" s="28" t="s">
        <v>100</v>
      </c>
      <c r="D17" s="28" t="s">
        <v>221</v>
      </c>
      <c r="E17" s="28">
        <v>760001</v>
      </c>
      <c r="F17" s="28" t="s">
        <v>224</v>
      </c>
      <c r="G17" s="28">
        <v>1659926</v>
      </c>
      <c r="H17" s="28">
        <v>172505</v>
      </c>
      <c r="I17" s="28">
        <v>106251</v>
      </c>
      <c r="J17" s="28">
        <v>57865</v>
      </c>
      <c r="K17" s="28">
        <v>27717</v>
      </c>
      <c r="L17" s="28">
        <v>7935</v>
      </c>
      <c r="M17" s="28">
        <v>15433</v>
      </c>
      <c r="N17" s="28">
        <v>8384</v>
      </c>
      <c r="O17" s="28">
        <v>9401</v>
      </c>
      <c r="P17" s="28">
        <v>4102</v>
      </c>
    </row>
    <row r="18" spans="1:16" x14ac:dyDescent="0.2">
      <c r="A18" s="28">
        <v>496</v>
      </c>
      <c r="B18" s="28">
        <v>536</v>
      </c>
      <c r="C18" s="28" t="s">
        <v>101</v>
      </c>
      <c r="D18" s="28" t="s">
        <v>221</v>
      </c>
      <c r="E18" s="28">
        <v>460001</v>
      </c>
      <c r="F18" s="28" t="s">
        <v>226</v>
      </c>
      <c r="G18" s="28">
        <v>858003</v>
      </c>
      <c r="H18" s="28">
        <v>602331</v>
      </c>
      <c r="I18" s="28">
        <v>66305</v>
      </c>
      <c r="J18" s="28">
        <v>75129</v>
      </c>
      <c r="K18" s="28">
        <v>26970</v>
      </c>
      <c r="L18" s="28">
        <v>53095</v>
      </c>
      <c r="M18" s="28">
        <v>14924</v>
      </c>
      <c r="N18" s="28">
        <v>26315</v>
      </c>
      <c r="O18" s="28">
        <v>9091</v>
      </c>
      <c r="P18" s="28">
        <v>12876</v>
      </c>
    </row>
    <row r="19" spans="1:16" x14ac:dyDescent="0.2">
      <c r="A19" s="28">
        <v>497</v>
      </c>
      <c r="B19" s="28">
        <v>537</v>
      </c>
      <c r="C19" s="28" t="s">
        <v>102</v>
      </c>
      <c r="D19" s="28" t="s">
        <v>221</v>
      </c>
      <c r="E19" s="28">
        <v>720001</v>
      </c>
      <c r="F19" s="28" t="s">
        <v>225</v>
      </c>
      <c r="G19" s="28">
        <v>778176</v>
      </c>
      <c r="H19" s="28">
        <v>161931</v>
      </c>
      <c r="I19" s="28">
        <v>138001</v>
      </c>
      <c r="J19" s="28">
        <v>21199</v>
      </c>
      <c r="K19" s="28">
        <v>31514</v>
      </c>
      <c r="L19" s="28">
        <v>9476</v>
      </c>
      <c r="M19" s="28">
        <v>17979</v>
      </c>
      <c r="N19" s="28">
        <v>9315</v>
      </c>
      <c r="O19" s="28">
        <v>10952</v>
      </c>
      <c r="P19" s="28">
        <v>4558</v>
      </c>
    </row>
    <row r="20" spans="1:16" x14ac:dyDescent="0.2">
      <c r="A20" s="28">
        <v>498</v>
      </c>
      <c r="B20" s="28">
        <v>538</v>
      </c>
      <c r="C20" s="28" t="s">
        <v>103</v>
      </c>
      <c r="D20" s="28" t="s">
        <v>221</v>
      </c>
      <c r="E20" s="28">
        <v>800001</v>
      </c>
      <c r="F20" s="28" t="s">
        <v>225</v>
      </c>
      <c r="G20" s="28">
        <v>2071929</v>
      </c>
      <c r="H20" s="28">
        <v>295531</v>
      </c>
      <c r="I20" s="28">
        <v>215158</v>
      </c>
      <c r="J20" s="28">
        <v>89038</v>
      </c>
      <c r="K20" s="28">
        <v>77076</v>
      </c>
      <c r="L20" s="28">
        <v>48663</v>
      </c>
      <c r="M20" s="28">
        <v>30645</v>
      </c>
      <c r="N20" s="28">
        <v>83487</v>
      </c>
      <c r="O20" s="28">
        <v>18667</v>
      </c>
      <c r="P20" s="28">
        <v>30850</v>
      </c>
    </row>
    <row r="21" spans="1:16" x14ac:dyDescent="0.2">
      <c r="A21" s="28">
        <v>499</v>
      </c>
      <c r="B21" s="28">
        <v>539</v>
      </c>
      <c r="C21" s="28" t="s">
        <v>104</v>
      </c>
      <c r="D21" s="28" t="s">
        <v>221</v>
      </c>
      <c r="E21" s="28">
        <v>700001</v>
      </c>
      <c r="F21" s="28" t="s">
        <v>225</v>
      </c>
      <c r="G21" s="28">
        <v>2009734</v>
      </c>
      <c r="H21" s="28">
        <v>327544</v>
      </c>
      <c r="I21" s="28">
        <v>235225</v>
      </c>
      <c r="J21" s="28">
        <v>91883</v>
      </c>
      <c r="K21" s="28">
        <v>113293</v>
      </c>
      <c r="L21" s="28">
        <v>35860</v>
      </c>
      <c r="M21" s="28">
        <v>46941</v>
      </c>
      <c r="N21" s="28">
        <v>29343</v>
      </c>
      <c r="O21" s="28">
        <v>28594</v>
      </c>
      <c r="P21" s="28">
        <v>14357</v>
      </c>
    </row>
    <row r="22" spans="1:16" x14ac:dyDescent="0.2">
      <c r="A22" s="28">
        <v>500</v>
      </c>
      <c r="B22" s="28">
        <v>540</v>
      </c>
      <c r="C22" s="28" t="s">
        <v>105</v>
      </c>
      <c r="D22" s="28" t="s">
        <v>221</v>
      </c>
      <c r="E22" s="28">
        <v>820001</v>
      </c>
      <c r="F22" s="28" t="s">
        <v>225</v>
      </c>
      <c r="G22" s="28">
        <v>1682090</v>
      </c>
      <c r="H22" s="28">
        <v>273144</v>
      </c>
      <c r="I22" s="28">
        <v>146074</v>
      </c>
      <c r="J22" s="28">
        <v>49835</v>
      </c>
      <c r="K22" s="28">
        <v>49034</v>
      </c>
      <c r="L22" s="28">
        <v>4797</v>
      </c>
      <c r="M22" s="28">
        <v>23404</v>
      </c>
      <c r="N22" s="28">
        <v>11993</v>
      </c>
      <c r="O22" s="28">
        <v>14257</v>
      </c>
      <c r="P22" s="28">
        <v>5868</v>
      </c>
    </row>
    <row r="23" spans="1:16" x14ac:dyDescent="0.2">
      <c r="A23" s="28">
        <v>501</v>
      </c>
      <c r="B23" s="28">
        <v>541</v>
      </c>
      <c r="C23" s="28" t="s">
        <v>106</v>
      </c>
      <c r="D23" s="28" t="s">
        <v>221</v>
      </c>
      <c r="E23" s="28">
        <v>860001</v>
      </c>
      <c r="F23" s="28" t="s">
        <v>225</v>
      </c>
      <c r="G23" s="28">
        <v>1034035</v>
      </c>
      <c r="H23" s="28">
        <v>59897</v>
      </c>
      <c r="I23" s="28">
        <v>77706</v>
      </c>
      <c r="J23" s="28">
        <v>33254</v>
      </c>
      <c r="K23" s="28">
        <v>27625</v>
      </c>
      <c r="L23" s="28">
        <v>4487</v>
      </c>
      <c r="M23" s="28">
        <v>17492</v>
      </c>
      <c r="N23" s="28">
        <v>3027</v>
      </c>
      <c r="O23" s="28">
        <v>10655</v>
      </c>
      <c r="P23" s="28">
        <v>1481</v>
      </c>
    </row>
    <row r="24" spans="1:16" x14ac:dyDescent="0.2">
      <c r="A24" s="28">
        <v>502</v>
      </c>
      <c r="B24" s="28">
        <v>542</v>
      </c>
      <c r="C24" s="28" t="s">
        <v>107</v>
      </c>
      <c r="D24" s="28" t="s">
        <v>221</v>
      </c>
      <c r="E24" s="28">
        <v>260001</v>
      </c>
      <c r="F24" s="28" t="s">
        <v>229</v>
      </c>
      <c r="G24" s="28">
        <v>2897835</v>
      </c>
      <c r="H24" s="28">
        <v>1312771</v>
      </c>
      <c r="I24" s="28">
        <v>75983</v>
      </c>
      <c r="J24" s="28">
        <v>54901</v>
      </c>
      <c r="K24" s="28">
        <v>29405</v>
      </c>
      <c r="L24" s="28">
        <v>11122</v>
      </c>
      <c r="M24" s="28">
        <v>11536</v>
      </c>
      <c r="N24" s="28">
        <v>9432</v>
      </c>
      <c r="O24" s="28">
        <v>7027</v>
      </c>
      <c r="P24" s="28">
        <v>4615</v>
      </c>
    </row>
    <row r="25" spans="1:16" x14ac:dyDescent="0.2">
      <c r="A25" s="28">
        <v>503</v>
      </c>
      <c r="B25" s="28">
        <v>543</v>
      </c>
      <c r="C25" s="28" t="s">
        <v>108</v>
      </c>
      <c r="D25" s="28" t="s">
        <v>221</v>
      </c>
      <c r="E25" s="28">
        <v>240001</v>
      </c>
      <c r="F25" s="28" t="s">
        <v>229</v>
      </c>
      <c r="G25" s="28">
        <v>438935</v>
      </c>
      <c r="H25" s="28">
        <v>574264</v>
      </c>
      <c r="I25" s="28">
        <v>80949</v>
      </c>
      <c r="J25" s="28">
        <v>74517</v>
      </c>
      <c r="K25" s="28">
        <v>31607</v>
      </c>
      <c r="L25" s="28">
        <v>24372</v>
      </c>
      <c r="M25" s="28">
        <v>1572</v>
      </c>
      <c r="N25" s="28">
        <v>10596</v>
      </c>
      <c r="O25" s="28">
        <v>958</v>
      </c>
      <c r="P25" s="28">
        <v>5185</v>
      </c>
    </row>
    <row r="26" spans="1:16" x14ac:dyDescent="0.2">
      <c r="A26" s="28">
        <v>504</v>
      </c>
      <c r="B26" s="28">
        <v>544</v>
      </c>
      <c r="C26" s="28" t="s">
        <v>109</v>
      </c>
      <c r="D26" s="28" t="s">
        <v>221</v>
      </c>
      <c r="E26" s="28">
        <v>100001</v>
      </c>
      <c r="F26" s="28" t="s">
        <v>228</v>
      </c>
      <c r="G26" s="28">
        <v>2379713</v>
      </c>
      <c r="H26" s="28">
        <v>3197299</v>
      </c>
      <c r="I26" s="28">
        <v>351088</v>
      </c>
      <c r="J26" s="28">
        <v>308331</v>
      </c>
      <c r="K26" s="28">
        <v>182246</v>
      </c>
      <c r="L26" s="28">
        <v>149697</v>
      </c>
      <c r="M26" s="28">
        <v>161017</v>
      </c>
      <c r="N26" s="28">
        <v>176406</v>
      </c>
      <c r="O26" s="28">
        <v>80084</v>
      </c>
      <c r="P26" s="28">
        <v>80315</v>
      </c>
    </row>
    <row r="27" spans="1:16" x14ac:dyDescent="0.2">
      <c r="A27" s="28">
        <v>505</v>
      </c>
      <c r="B27" s="28">
        <v>545</v>
      </c>
      <c r="C27" s="28" t="s">
        <v>110</v>
      </c>
      <c r="D27" s="28" t="s">
        <v>221</v>
      </c>
      <c r="E27" s="28">
        <v>962001</v>
      </c>
      <c r="F27" s="28" t="s">
        <v>229</v>
      </c>
      <c r="G27" s="28">
        <v>348701</v>
      </c>
      <c r="H27" s="28">
        <v>164964</v>
      </c>
      <c r="I27" s="28">
        <v>95705</v>
      </c>
      <c r="J27" s="28">
        <v>61827</v>
      </c>
      <c r="K27" s="28">
        <v>56135</v>
      </c>
      <c r="L27" s="28">
        <v>46833</v>
      </c>
      <c r="M27" s="28">
        <v>19219</v>
      </c>
      <c r="N27" s="28">
        <v>20144</v>
      </c>
      <c r="O27" s="28">
        <v>11708</v>
      </c>
      <c r="P27" s="28">
        <v>9856</v>
      </c>
    </row>
    <row r="28" spans="1:16" x14ac:dyDescent="0.2">
      <c r="A28" s="28">
        <v>506</v>
      </c>
      <c r="B28" s="28">
        <v>546</v>
      </c>
      <c r="C28" s="28" t="s">
        <v>111</v>
      </c>
      <c r="D28" s="28" t="s">
        <v>221</v>
      </c>
      <c r="E28" s="28">
        <v>920001</v>
      </c>
      <c r="F28" s="28" t="s">
        <v>229</v>
      </c>
      <c r="G28" s="28">
        <v>725552</v>
      </c>
      <c r="H28" s="28">
        <v>246391</v>
      </c>
      <c r="I28" s="28">
        <v>93966</v>
      </c>
      <c r="J28" s="28">
        <v>72477</v>
      </c>
      <c r="K28" s="28">
        <v>48413</v>
      </c>
      <c r="L28" s="28">
        <v>35425</v>
      </c>
      <c r="M28" s="28">
        <v>17559</v>
      </c>
      <c r="N28" s="28">
        <v>1397</v>
      </c>
      <c r="O28" s="28">
        <v>10696</v>
      </c>
      <c r="P28" s="28">
        <v>684</v>
      </c>
    </row>
    <row r="29" spans="1:16" x14ac:dyDescent="0.2">
      <c r="A29" s="28">
        <v>507</v>
      </c>
      <c r="B29" s="28">
        <v>547</v>
      </c>
      <c r="C29" s="28" t="s">
        <v>112</v>
      </c>
      <c r="D29" s="28" t="s">
        <v>221</v>
      </c>
      <c r="E29" s="28">
        <v>110001</v>
      </c>
      <c r="F29" s="28" t="s">
        <v>228</v>
      </c>
      <c r="G29" s="28">
        <v>1004908</v>
      </c>
      <c r="H29" s="28">
        <v>747949</v>
      </c>
      <c r="I29" s="28">
        <v>100921</v>
      </c>
      <c r="J29" s="28">
        <v>98977</v>
      </c>
      <c r="K29" s="28">
        <v>56300</v>
      </c>
      <c r="L29" s="28">
        <v>41135</v>
      </c>
      <c r="M29" s="28">
        <v>26725</v>
      </c>
      <c r="N29" s="28">
        <v>9548</v>
      </c>
      <c r="O29" s="28">
        <v>16280</v>
      </c>
      <c r="P29" s="28">
        <v>4672</v>
      </c>
    </row>
    <row r="30" spans="1:16" x14ac:dyDescent="0.2">
      <c r="A30" s="28">
        <v>508</v>
      </c>
      <c r="B30" s="28">
        <v>548</v>
      </c>
      <c r="C30" s="28" t="s">
        <v>113</v>
      </c>
      <c r="D30" s="28" t="s">
        <v>221</v>
      </c>
      <c r="E30" s="28">
        <v>340001</v>
      </c>
      <c r="F30" s="28" t="s">
        <v>228</v>
      </c>
      <c r="G30" s="28">
        <v>282442</v>
      </c>
      <c r="H30" s="28">
        <v>845032</v>
      </c>
      <c r="I30" s="28">
        <v>94414</v>
      </c>
      <c r="J30" s="28">
        <v>80386</v>
      </c>
      <c r="K30" s="28">
        <v>58676</v>
      </c>
      <c r="L30" s="28">
        <v>34673</v>
      </c>
      <c r="M30" s="28">
        <v>27500</v>
      </c>
      <c r="N30" s="28">
        <v>20144</v>
      </c>
      <c r="O30" s="28">
        <v>16752</v>
      </c>
      <c r="P30" s="28">
        <v>9856</v>
      </c>
    </row>
    <row r="31" spans="1:16" x14ac:dyDescent="0.2">
      <c r="A31" s="28">
        <v>509</v>
      </c>
      <c r="B31" s="28">
        <v>549</v>
      </c>
      <c r="C31" s="28" t="s">
        <v>114</v>
      </c>
      <c r="D31" s="28" t="s">
        <v>221</v>
      </c>
      <c r="E31" s="28">
        <v>230001</v>
      </c>
      <c r="F31" s="28" t="s">
        <v>228</v>
      </c>
      <c r="G31" s="28">
        <v>547016</v>
      </c>
      <c r="H31" s="28">
        <v>1049513</v>
      </c>
      <c r="I31" s="28">
        <v>115429</v>
      </c>
      <c r="J31" s="28">
        <v>74755</v>
      </c>
      <c r="K31" s="28">
        <v>72322</v>
      </c>
      <c r="L31" s="28">
        <v>46495</v>
      </c>
      <c r="M31" s="28">
        <v>39059</v>
      </c>
      <c r="N31" s="28">
        <v>16534</v>
      </c>
      <c r="O31" s="28">
        <v>23793</v>
      </c>
      <c r="P31" s="28">
        <v>8090</v>
      </c>
    </row>
    <row r="32" spans="1:16" x14ac:dyDescent="0.2">
      <c r="A32" s="28">
        <v>510</v>
      </c>
      <c r="B32" s="28">
        <v>550</v>
      </c>
      <c r="C32" s="28" t="s">
        <v>115</v>
      </c>
      <c r="D32" s="28" t="s">
        <v>221</v>
      </c>
      <c r="E32" s="28">
        <v>200001</v>
      </c>
      <c r="F32" s="28" t="s">
        <v>228</v>
      </c>
      <c r="G32" s="28">
        <v>1664976</v>
      </c>
      <c r="H32" s="28">
        <v>1837567</v>
      </c>
      <c r="I32" s="28">
        <v>115566</v>
      </c>
      <c r="J32" s="28">
        <v>90883</v>
      </c>
      <c r="K32" s="28">
        <v>104095</v>
      </c>
      <c r="L32" s="28">
        <v>138660</v>
      </c>
      <c r="M32" s="28">
        <v>147200</v>
      </c>
      <c r="N32" s="28">
        <v>59501</v>
      </c>
      <c r="O32" s="28">
        <v>89668</v>
      </c>
      <c r="P32" s="28">
        <v>29114</v>
      </c>
    </row>
    <row r="33" spans="1:16" x14ac:dyDescent="0.2">
      <c r="A33" s="28">
        <v>511</v>
      </c>
      <c r="B33" s="28">
        <v>551</v>
      </c>
      <c r="C33" s="28" t="s">
        <v>116</v>
      </c>
      <c r="D33" s="28" t="s">
        <v>221</v>
      </c>
      <c r="E33" s="28">
        <v>930001</v>
      </c>
      <c r="F33" s="28" t="s">
        <v>229</v>
      </c>
      <c r="G33" s="28">
        <v>911418</v>
      </c>
      <c r="H33" s="28">
        <v>288342</v>
      </c>
      <c r="I33" s="28">
        <v>107759</v>
      </c>
      <c r="J33" s="28">
        <v>83848</v>
      </c>
      <c r="K33" s="28">
        <v>31406</v>
      </c>
      <c r="L33" s="28">
        <v>30863</v>
      </c>
      <c r="M33" s="28">
        <v>33855</v>
      </c>
      <c r="N33" s="28">
        <v>39822</v>
      </c>
      <c r="O33" s="28">
        <v>20623</v>
      </c>
      <c r="P33" s="28">
        <v>19485</v>
      </c>
    </row>
    <row r="34" spans="1:16" x14ac:dyDescent="0.2">
      <c r="A34" s="28">
        <v>512</v>
      </c>
      <c r="B34" s="28">
        <v>552</v>
      </c>
      <c r="C34" s="28" t="s">
        <v>117</v>
      </c>
      <c r="D34" s="28" t="s">
        <v>221</v>
      </c>
      <c r="E34" s="28">
        <v>500001</v>
      </c>
      <c r="F34" s="28" t="s">
        <v>227</v>
      </c>
      <c r="G34" s="28">
        <v>1158797</v>
      </c>
      <c r="H34" s="28">
        <v>1395049</v>
      </c>
      <c r="I34" s="28">
        <v>248584</v>
      </c>
      <c r="J34" s="28">
        <v>237226</v>
      </c>
      <c r="K34" s="28">
        <v>30368</v>
      </c>
      <c r="L34" s="28">
        <v>35519</v>
      </c>
      <c r="M34" s="28">
        <v>46055</v>
      </c>
      <c r="N34" s="28">
        <v>43665</v>
      </c>
      <c r="O34" s="28">
        <v>28055</v>
      </c>
      <c r="P34" s="28">
        <v>21365</v>
      </c>
    </row>
    <row r="35" spans="1:16" x14ac:dyDescent="0.2">
      <c r="A35" s="28">
        <v>513</v>
      </c>
      <c r="B35" s="28">
        <v>553</v>
      </c>
      <c r="C35" s="28" t="s">
        <v>118</v>
      </c>
      <c r="D35" s="28" t="s">
        <v>221</v>
      </c>
      <c r="E35" s="28">
        <v>840001</v>
      </c>
      <c r="F35" s="28" t="s">
        <v>225</v>
      </c>
      <c r="G35" s="28">
        <v>1048176</v>
      </c>
      <c r="H35" s="28">
        <v>31105</v>
      </c>
      <c r="I35" s="28">
        <v>128060</v>
      </c>
      <c r="J35" s="28">
        <v>53240</v>
      </c>
      <c r="K35" s="28">
        <v>19478</v>
      </c>
      <c r="L35" s="28">
        <v>14199</v>
      </c>
      <c r="M35" s="28">
        <v>10761</v>
      </c>
      <c r="N35" s="28">
        <v>20144</v>
      </c>
      <c r="O35" s="28">
        <v>6555</v>
      </c>
      <c r="P35" s="28">
        <v>9856</v>
      </c>
    </row>
    <row r="36" spans="1:16" x14ac:dyDescent="0.2">
      <c r="A36" s="28">
        <v>514</v>
      </c>
      <c r="B36" s="28">
        <v>554</v>
      </c>
      <c r="C36" s="28" t="s">
        <v>119</v>
      </c>
      <c r="D36" s="28" t="s">
        <v>221</v>
      </c>
      <c r="E36" s="28">
        <v>660001</v>
      </c>
      <c r="F36" s="28" t="s">
        <v>224</v>
      </c>
      <c r="G36" s="28">
        <v>509727</v>
      </c>
      <c r="H36" s="28">
        <v>51712</v>
      </c>
      <c r="I36" s="28">
        <v>103170</v>
      </c>
      <c r="J36" s="28">
        <v>47672</v>
      </c>
      <c r="K36" s="28">
        <v>22565</v>
      </c>
      <c r="L36" s="28">
        <v>14180</v>
      </c>
      <c r="M36" s="28">
        <v>14990</v>
      </c>
      <c r="N36" s="28">
        <v>3493</v>
      </c>
      <c r="O36" s="28">
        <v>9131</v>
      </c>
      <c r="P36" s="28">
        <v>1709</v>
      </c>
    </row>
    <row r="37" spans="1:16" x14ac:dyDescent="0.2">
      <c r="A37" s="28">
        <v>515</v>
      </c>
      <c r="B37" s="28">
        <v>555</v>
      </c>
      <c r="C37" s="28" t="s">
        <v>120</v>
      </c>
      <c r="D37" s="28" t="s">
        <v>221</v>
      </c>
      <c r="E37" s="28">
        <v>620001</v>
      </c>
      <c r="F37" s="28" t="s">
        <v>224</v>
      </c>
      <c r="G37" s="28">
        <v>873835</v>
      </c>
      <c r="H37" s="28">
        <v>550771</v>
      </c>
      <c r="I37" s="28">
        <v>109419</v>
      </c>
      <c r="J37" s="28">
        <v>32478</v>
      </c>
      <c r="K37" s="28">
        <v>3194</v>
      </c>
      <c r="L37" s="28">
        <v>827</v>
      </c>
      <c r="M37" s="28">
        <v>21987</v>
      </c>
      <c r="N37" s="28">
        <v>13798</v>
      </c>
      <c r="O37" s="28">
        <v>10000</v>
      </c>
      <c r="P37" s="28">
        <v>16000</v>
      </c>
    </row>
    <row r="38" spans="1:16" x14ac:dyDescent="0.2">
      <c r="A38" s="28">
        <v>516</v>
      </c>
      <c r="B38" s="28">
        <v>556</v>
      </c>
      <c r="C38" s="28" t="s">
        <v>121</v>
      </c>
      <c r="D38" s="28" t="s">
        <v>221</v>
      </c>
      <c r="E38" s="28">
        <v>880001</v>
      </c>
      <c r="F38" s="28" t="s">
        <v>225</v>
      </c>
      <c r="G38" s="28">
        <v>721057</v>
      </c>
      <c r="H38" s="28">
        <v>239717</v>
      </c>
      <c r="I38" s="28">
        <v>121033</v>
      </c>
      <c r="J38" s="28">
        <v>35166</v>
      </c>
      <c r="K38" s="28">
        <v>35998</v>
      </c>
      <c r="L38" s="28">
        <v>12769</v>
      </c>
      <c r="M38" s="28">
        <v>46565</v>
      </c>
      <c r="N38" s="28">
        <v>4192</v>
      </c>
      <c r="O38" s="28">
        <v>28365</v>
      </c>
      <c r="P38" s="28">
        <v>2051</v>
      </c>
    </row>
    <row r="39" spans="1:16" x14ac:dyDescent="0.2">
      <c r="A39" s="28">
        <v>517</v>
      </c>
      <c r="B39" s="28">
        <v>557</v>
      </c>
      <c r="C39" s="28" t="s">
        <v>1</v>
      </c>
      <c r="D39" s="28" t="s">
        <v>221</v>
      </c>
      <c r="E39" s="28">
        <v>900001</v>
      </c>
      <c r="F39" s="28" t="s">
        <v>229</v>
      </c>
      <c r="G39" s="28">
        <v>295696</v>
      </c>
      <c r="H39" s="28">
        <v>304993</v>
      </c>
      <c r="I39" s="28">
        <v>134064</v>
      </c>
      <c r="J39" s="28">
        <v>109422</v>
      </c>
      <c r="K39" s="28">
        <v>50232</v>
      </c>
      <c r="L39" s="28">
        <v>40418</v>
      </c>
      <c r="M39" s="28">
        <v>30645</v>
      </c>
      <c r="N39" s="28">
        <v>65323</v>
      </c>
      <c r="O39" s="28">
        <v>18667</v>
      </c>
      <c r="P39" s="28">
        <v>20962</v>
      </c>
    </row>
    <row r="40" spans="1:16" s="28" customFormat="1" x14ac:dyDescent="0.2"/>
    <row r="41" spans="1:16" x14ac:dyDescent="0.2">
      <c r="A41" s="23" t="s">
        <v>176</v>
      </c>
      <c r="C41" s="25">
        <v>873835</v>
      </c>
      <c r="G41" s="25">
        <v>550770.5</v>
      </c>
      <c r="H41" s="25">
        <v>106524</v>
      </c>
      <c r="I41" s="25">
        <v>74517</v>
      </c>
      <c r="J41" s="25">
        <v>31592</v>
      </c>
      <c r="K41" s="25">
        <v>31625</v>
      </c>
      <c r="L41" s="25">
        <v>21987</v>
      </c>
      <c r="M41" s="25">
        <v>13798</v>
      </c>
      <c r="N41" s="25">
        <v>12530</v>
      </c>
      <c r="O41" s="25">
        <v>7634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CE4EA-DD38-4C4F-8F1C-F6A0A77C7B43}">
  <sheetPr codeName="Sheet5"/>
  <dimension ref="A1:M42"/>
  <sheetViews>
    <sheetView zoomScale="90" zoomScaleNormal="90" workbookViewId="0">
      <selection activeCell="C10" sqref="C10"/>
    </sheetView>
  </sheetViews>
  <sheetFormatPr defaultColWidth="74.28515625" defaultRowHeight="15" x14ac:dyDescent="0.25"/>
  <cols>
    <col min="1" max="1" width="23.28515625" customWidth="1"/>
    <col min="2" max="2" width="25.85546875" customWidth="1"/>
    <col min="3" max="3" width="67.28515625" bestFit="1" customWidth="1"/>
    <col min="4" max="4" width="13.7109375" customWidth="1"/>
    <col min="5" max="5" width="15.7109375" customWidth="1"/>
    <col min="6" max="6" width="13.140625" customWidth="1"/>
    <col min="7" max="7" width="15.28515625" customWidth="1"/>
    <col min="8" max="8" width="13.140625" customWidth="1"/>
    <col min="9" max="9" width="15.28515625" customWidth="1"/>
    <col min="10" max="10" width="13.140625" customWidth="1"/>
    <col min="11" max="11" width="15.28515625" customWidth="1"/>
    <col min="12" max="12" width="13.140625" bestFit="1" customWidth="1"/>
  </cols>
  <sheetData>
    <row r="1" spans="1:11" x14ac:dyDescent="0.25">
      <c r="C1" t="s">
        <v>8</v>
      </c>
      <c r="F1" s="3"/>
      <c r="G1" s="2"/>
      <c r="H1" s="2"/>
    </row>
    <row r="2" spans="1:11" x14ac:dyDescent="0.25">
      <c r="A2" t="s">
        <v>238</v>
      </c>
      <c r="B2" t="s">
        <v>240</v>
      </c>
      <c r="C2" t="s">
        <v>183</v>
      </c>
      <c r="D2" t="s">
        <v>84</v>
      </c>
      <c r="E2" t="s">
        <v>85</v>
      </c>
      <c r="F2" t="s">
        <v>128</v>
      </c>
      <c r="G2" t="s">
        <v>83</v>
      </c>
      <c r="H2" t="s">
        <v>4</v>
      </c>
      <c r="I2" t="s">
        <v>5</v>
      </c>
      <c r="J2" t="s">
        <v>6</v>
      </c>
      <c r="K2" t="s">
        <v>7</v>
      </c>
    </row>
    <row r="3" spans="1:11" x14ac:dyDescent="0.25">
      <c r="A3">
        <v>441</v>
      </c>
      <c r="B3">
        <v>521</v>
      </c>
      <c r="C3" t="s">
        <v>52</v>
      </c>
      <c r="D3">
        <v>5763161</v>
      </c>
      <c r="E3">
        <v>1232210</v>
      </c>
      <c r="F3">
        <v>1230587</v>
      </c>
      <c r="G3">
        <v>391597</v>
      </c>
      <c r="H3">
        <v>133879</v>
      </c>
      <c r="I3">
        <v>76527</v>
      </c>
      <c r="J3">
        <v>179213</v>
      </c>
      <c r="K3">
        <v>348505</v>
      </c>
    </row>
    <row r="4" spans="1:11" x14ac:dyDescent="0.25">
      <c r="A4">
        <v>442</v>
      </c>
      <c r="B4">
        <v>522</v>
      </c>
      <c r="C4" t="s">
        <v>75</v>
      </c>
      <c r="D4">
        <v>162877</v>
      </c>
      <c r="E4">
        <v>14954</v>
      </c>
      <c r="F4">
        <v>24126</v>
      </c>
      <c r="G4">
        <v>34020</v>
      </c>
      <c r="H4">
        <v>15161</v>
      </c>
      <c r="I4">
        <v>6569</v>
      </c>
      <c r="J4">
        <v>3500</v>
      </c>
      <c r="K4">
        <v>12220</v>
      </c>
    </row>
    <row r="5" spans="1:11" x14ac:dyDescent="0.25">
      <c r="A5">
        <v>443</v>
      </c>
      <c r="B5">
        <v>523</v>
      </c>
      <c r="C5" t="s">
        <v>170</v>
      </c>
      <c r="D5">
        <v>4796232</v>
      </c>
      <c r="E5">
        <v>2869744</v>
      </c>
      <c r="F5">
        <v>378627</v>
      </c>
      <c r="G5">
        <v>494357</v>
      </c>
      <c r="H5">
        <v>10647</v>
      </c>
      <c r="I5">
        <v>4462</v>
      </c>
      <c r="J5">
        <v>106525</v>
      </c>
      <c r="K5">
        <v>55989</v>
      </c>
    </row>
    <row r="6" spans="1:11" x14ac:dyDescent="0.25">
      <c r="A6">
        <v>444</v>
      </c>
      <c r="B6">
        <v>524</v>
      </c>
      <c r="C6" t="s">
        <v>50</v>
      </c>
      <c r="D6">
        <v>7875</v>
      </c>
      <c r="E6">
        <v>61913</v>
      </c>
      <c r="F6">
        <v>104799</v>
      </c>
      <c r="G6">
        <v>80766</v>
      </c>
      <c r="H6">
        <v>1310</v>
      </c>
      <c r="I6">
        <v>544</v>
      </c>
      <c r="J6">
        <v>21952</v>
      </c>
      <c r="K6">
        <v>67326</v>
      </c>
    </row>
    <row r="7" spans="1:11" x14ac:dyDescent="0.25">
      <c r="A7">
        <v>445</v>
      </c>
      <c r="B7">
        <v>525</v>
      </c>
      <c r="C7" t="s">
        <v>129</v>
      </c>
      <c r="D7">
        <v>1139901</v>
      </c>
      <c r="E7">
        <v>72417</v>
      </c>
      <c r="F7">
        <v>1034908</v>
      </c>
      <c r="G7">
        <v>371183</v>
      </c>
      <c r="H7">
        <v>8736</v>
      </c>
      <c r="I7">
        <v>1433</v>
      </c>
      <c r="J7">
        <v>223100</v>
      </c>
      <c r="K7">
        <v>108595</v>
      </c>
    </row>
    <row r="8" spans="1:11" x14ac:dyDescent="0.25">
      <c r="A8">
        <v>446</v>
      </c>
      <c r="B8">
        <v>526</v>
      </c>
      <c r="C8" t="s">
        <v>53</v>
      </c>
      <c r="D8">
        <v>16122951</v>
      </c>
      <c r="E8">
        <v>14155462</v>
      </c>
      <c r="F8">
        <v>104304</v>
      </c>
      <c r="G8">
        <v>33614</v>
      </c>
      <c r="H8">
        <v>505197</v>
      </c>
      <c r="I8">
        <v>560558</v>
      </c>
      <c r="J8">
        <v>6794</v>
      </c>
      <c r="K8">
        <v>51319</v>
      </c>
    </row>
    <row r="9" spans="1:11" x14ac:dyDescent="0.25">
      <c r="A9">
        <v>447</v>
      </c>
      <c r="B9">
        <v>527</v>
      </c>
      <c r="C9" t="s">
        <v>76</v>
      </c>
      <c r="D9">
        <v>2224601</v>
      </c>
      <c r="E9">
        <v>133773</v>
      </c>
      <c r="F9">
        <v>91869</v>
      </c>
      <c r="G9">
        <v>35916</v>
      </c>
      <c r="H9">
        <v>270722</v>
      </c>
      <c r="I9">
        <v>341900</v>
      </c>
      <c r="J9">
        <v>12211</v>
      </c>
      <c r="K9">
        <v>33267</v>
      </c>
    </row>
    <row r="10" spans="1:11" x14ac:dyDescent="0.25">
      <c r="A10">
        <v>448</v>
      </c>
      <c r="B10">
        <v>528</v>
      </c>
      <c r="C10" t="s">
        <v>77</v>
      </c>
      <c r="D10">
        <v>1107644</v>
      </c>
      <c r="E10">
        <v>550771</v>
      </c>
      <c r="F10">
        <v>127703</v>
      </c>
      <c r="G10">
        <v>90784</v>
      </c>
      <c r="H10">
        <v>5794</v>
      </c>
      <c r="I10">
        <v>3251</v>
      </c>
      <c r="J10">
        <v>6656</v>
      </c>
      <c r="K10">
        <v>12494</v>
      </c>
    </row>
    <row r="11" spans="1:11" x14ac:dyDescent="0.25">
      <c r="A11">
        <v>449</v>
      </c>
      <c r="B11">
        <v>529</v>
      </c>
      <c r="C11" t="s">
        <v>60</v>
      </c>
      <c r="D11">
        <v>1107644</v>
      </c>
      <c r="E11">
        <v>1826697</v>
      </c>
      <c r="F11">
        <v>644492</v>
      </c>
      <c r="G11">
        <v>854685</v>
      </c>
      <c r="H11">
        <v>456690</v>
      </c>
      <c r="I11">
        <v>150808</v>
      </c>
      <c r="J11">
        <v>388981</v>
      </c>
      <c r="K11">
        <v>104210</v>
      </c>
    </row>
    <row r="12" spans="1:11" x14ac:dyDescent="0.25">
      <c r="A12">
        <v>450</v>
      </c>
      <c r="B12">
        <v>530</v>
      </c>
      <c r="C12" t="s">
        <v>130</v>
      </c>
      <c r="D12">
        <v>459337</v>
      </c>
      <c r="E12">
        <v>157619</v>
      </c>
      <c r="F12">
        <v>155045</v>
      </c>
      <c r="G12">
        <v>96262</v>
      </c>
      <c r="H12">
        <v>7940</v>
      </c>
      <c r="I12">
        <v>5358</v>
      </c>
      <c r="J12">
        <v>42567</v>
      </c>
      <c r="K12">
        <v>48842</v>
      </c>
    </row>
    <row r="13" spans="1:11" x14ac:dyDescent="0.25">
      <c r="A13">
        <v>451</v>
      </c>
      <c r="B13">
        <v>531</v>
      </c>
      <c r="C13" t="s">
        <v>78</v>
      </c>
      <c r="D13">
        <v>1107644</v>
      </c>
      <c r="E13">
        <v>550771</v>
      </c>
      <c r="F13">
        <v>68114</v>
      </c>
      <c r="G13">
        <v>50300</v>
      </c>
      <c r="H13">
        <v>24755</v>
      </c>
      <c r="I13">
        <v>14606</v>
      </c>
      <c r="J13">
        <v>3714</v>
      </c>
      <c r="K13">
        <v>2278</v>
      </c>
    </row>
    <row r="14" spans="1:11" x14ac:dyDescent="0.25">
      <c r="A14">
        <v>452</v>
      </c>
      <c r="B14">
        <v>532</v>
      </c>
      <c r="C14" t="s">
        <v>131</v>
      </c>
      <c r="D14">
        <v>301778</v>
      </c>
      <c r="E14">
        <v>62209</v>
      </c>
      <c r="F14">
        <v>112752</v>
      </c>
      <c r="G14">
        <v>115445</v>
      </c>
      <c r="H14">
        <v>46514</v>
      </c>
      <c r="I14">
        <v>38968</v>
      </c>
      <c r="J14">
        <v>38322</v>
      </c>
      <c r="K14">
        <v>24304</v>
      </c>
    </row>
    <row r="15" spans="1:11" x14ac:dyDescent="0.25">
      <c r="A15">
        <v>453</v>
      </c>
      <c r="B15">
        <v>533</v>
      </c>
      <c r="C15" t="s">
        <v>258</v>
      </c>
      <c r="D15">
        <v>261087</v>
      </c>
      <c r="E15">
        <v>194445</v>
      </c>
      <c r="F15">
        <v>6636</v>
      </c>
      <c r="G15">
        <v>38119</v>
      </c>
      <c r="H15">
        <v>8029</v>
      </c>
      <c r="I15">
        <v>2664</v>
      </c>
      <c r="J15">
        <v>365</v>
      </c>
      <c r="K15">
        <v>569</v>
      </c>
    </row>
    <row r="16" spans="1:11" x14ac:dyDescent="0.25">
      <c r="A16">
        <v>454</v>
      </c>
      <c r="B16">
        <v>534</v>
      </c>
      <c r="C16" t="s">
        <v>132</v>
      </c>
      <c r="D16">
        <v>1107644</v>
      </c>
      <c r="E16">
        <v>550771</v>
      </c>
      <c r="F16">
        <v>81126</v>
      </c>
      <c r="G16">
        <v>46286</v>
      </c>
      <c r="H16">
        <v>26639</v>
      </c>
      <c r="I16">
        <v>6072</v>
      </c>
      <c r="J16">
        <v>9502.5</v>
      </c>
      <c r="K16">
        <v>28785.5</v>
      </c>
    </row>
    <row r="17" spans="1:11" x14ac:dyDescent="0.25">
      <c r="A17">
        <v>455</v>
      </c>
      <c r="B17">
        <v>535</v>
      </c>
      <c r="C17" t="s">
        <v>133</v>
      </c>
      <c r="D17">
        <v>606658</v>
      </c>
      <c r="E17">
        <v>225805</v>
      </c>
      <c r="F17">
        <v>132783</v>
      </c>
      <c r="G17">
        <v>206280</v>
      </c>
      <c r="H17">
        <v>279</v>
      </c>
      <c r="I17">
        <v>79</v>
      </c>
      <c r="J17">
        <v>9502.5</v>
      </c>
      <c r="K17">
        <v>28785.5</v>
      </c>
    </row>
    <row r="18" spans="1:11" x14ac:dyDescent="0.25">
      <c r="A18">
        <v>456</v>
      </c>
      <c r="B18">
        <v>536</v>
      </c>
      <c r="C18" t="s">
        <v>134</v>
      </c>
      <c r="D18">
        <v>2156202</v>
      </c>
      <c r="E18">
        <v>1539746</v>
      </c>
      <c r="F18">
        <v>160316</v>
      </c>
      <c r="G18">
        <v>100784</v>
      </c>
      <c r="H18">
        <v>112396</v>
      </c>
      <c r="I18">
        <v>41228</v>
      </c>
      <c r="J18">
        <v>9502.5</v>
      </c>
      <c r="K18">
        <v>28785.5</v>
      </c>
    </row>
    <row r="19" spans="1:11" x14ac:dyDescent="0.25">
      <c r="D19" s="2"/>
      <c r="E19" s="2"/>
      <c r="F19" s="2"/>
      <c r="G19" s="2"/>
      <c r="H19" s="7"/>
      <c r="I19" s="7"/>
      <c r="J19" s="2"/>
      <c r="K19" s="2"/>
    </row>
    <row r="20" spans="1:11" x14ac:dyDescent="0.25">
      <c r="C20" t="s">
        <v>176</v>
      </c>
      <c r="D20" s="2">
        <v>1107644</v>
      </c>
      <c r="E20" s="2">
        <v>550770.5</v>
      </c>
      <c r="F20" s="2">
        <v>120227.5</v>
      </c>
      <c r="G20" s="2">
        <v>93523</v>
      </c>
      <c r="H20" s="2">
        <v>19958</v>
      </c>
      <c r="I20" s="2">
        <v>6320.5</v>
      </c>
      <c r="J20" s="2">
        <v>9502.5</v>
      </c>
      <c r="K20" s="2">
        <v>28785.5</v>
      </c>
    </row>
    <row r="41" spans="12:13" x14ac:dyDescent="0.25">
      <c r="L41" s="2"/>
      <c r="M41" s="2"/>
    </row>
    <row r="42" spans="12:13" x14ac:dyDescent="0.25">
      <c r="L42" s="2"/>
      <c r="M42" s="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486A8-985D-4DF8-8E1E-F8DF6247B3F4}">
  <sheetPr codeName="Sheet6"/>
  <dimension ref="A1:Q22"/>
  <sheetViews>
    <sheetView workbookViewId="0">
      <selection activeCell="B20" sqref="A3:E22"/>
    </sheetView>
  </sheetViews>
  <sheetFormatPr defaultRowHeight="15" x14ac:dyDescent="0.25"/>
  <cols>
    <col min="1" max="1" width="27" customWidth="1"/>
    <col min="2" max="2" width="45.5703125" bestFit="1" customWidth="1"/>
    <col min="3" max="3" width="9.85546875" customWidth="1"/>
    <col min="4" max="4" width="18.5703125" customWidth="1"/>
    <col min="5" max="5" width="18.5703125" style="2" customWidth="1"/>
    <col min="6" max="6" width="9" style="2" bestFit="1" customWidth="1"/>
  </cols>
  <sheetData>
    <row r="1" spans="1:17" x14ac:dyDescent="0.25">
      <c r="B1" t="s">
        <v>27</v>
      </c>
    </row>
    <row r="2" spans="1:17" x14ac:dyDescent="0.25">
      <c r="A2" t="s">
        <v>240</v>
      </c>
      <c r="B2" t="s">
        <v>71</v>
      </c>
      <c r="C2" t="s">
        <v>184</v>
      </c>
      <c r="D2" t="s">
        <v>186</v>
      </c>
      <c r="E2" t="s">
        <v>185</v>
      </c>
      <c r="F2" t="s">
        <v>9</v>
      </c>
      <c r="G2" t="s">
        <v>9</v>
      </c>
      <c r="H2" t="s">
        <v>9</v>
      </c>
      <c r="I2" t="s">
        <v>9</v>
      </c>
      <c r="J2" t="s">
        <v>9</v>
      </c>
      <c r="K2" t="s">
        <v>9</v>
      </c>
      <c r="L2" t="s">
        <v>9</v>
      </c>
      <c r="M2" t="s">
        <v>9</v>
      </c>
      <c r="N2" t="s">
        <v>9</v>
      </c>
      <c r="O2" t="s">
        <v>9</v>
      </c>
      <c r="P2" t="s">
        <v>9</v>
      </c>
      <c r="Q2" t="s">
        <v>9</v>
      </c>
    </row>
    <row r="3" spans="1:17" x14ac:dyDescent="0.25">
      <c r="A3">
        <v>521</v>
      </c>
      <c r="B3" t="s">
        <v>10</v>
      </c>
      <c r="C3" t="s">
        <v>2</v>
      </c>
      <c r="D3">
        <v>4155915</v>
      </c>
      <c r="E3">
        <v>3960639</v>
      </c>
      <c r="F3"/>
    </row>
    <row r="4" spans="1:17" x14ac:dyDescent="0.25">
      <c r="A4">
        <v>522</v>
      </c>
      <c r="B4" t="s">
        <v>10</v>
      </c>
      <c r="C4" t="s">
        <v>3</v>
      </c>
      <c r="D4">
        <v>1224120</v>
      </c>
      <c r="E4">
        <v>1166600</v>
      </c>
      <c r="F4"/>
    </row>
    <row r="5" spans="1:17" x14ac:dyDescent="0.25">
      <c r="A5">
        <v>523</v>
      </c>
      <c r="B5" t="s">
        <v>11</v>
      </c>
      <c r="C5" t="s">
        <v>2</v>
      </c>
      <c r="D5">
        <v>563158</v>
      </c>
      <c r="E5">
        <v>536697</v>
      </c>
      <c r="F5"/>
    </row>
    <row r="6" spans="1:17" x14ac:dyDescent="0.25">
      <c r="A6">
        <v>524</v>
      </c>
      <c r="B6" t="s">
        <v>11</v>
      </c>
      <c r="C6" t="s">
        <v>3</v>
      </c>
      <c r="D6">
        <v>127744</v>
      </c>
      <c r="E6">
        <v>121741</v>
      </c>
      <c r="F6"/>
    </row>
    <row r="7" spans="1:17" x14ac:dyDescent="0.25">
      <c r="A7">
        <v>525</v>
      </c>
      <c r="B7" t="s">
        <v>12</v>
      </c>
      <c r="C7" t="s">
        <v>2</v>
      </c>
      <c r="D7">
        <v>1854734</v>
      </c>
      <c r="E7">
        <v>1767584</v>
      </c>
      <c r="F7"/>
    </row>
    <row r="8" spans="1:17" x14ac:dyDescent="0.25">
      <c r="A8">
        <v>526</v>
      </c>
      <c r="B8" t="s">
        <v>12</v>
      </c>
      <c r="C8" t="s">
        <v>3</v>
      </c>
      <c r="D8">
        <v>672102</v>
      </c>
      <c r="E8">
        <v>651475</v>
      </c>
      <c r="F8"/>
    </row>
    <row r="9" spans="1:17" x14ac:dyDescent="0.25">
      <c r="A9">
        <v>527</v>
      </c>
      <c r="B9" t="s">
        <v>13</v>
      </c>
      <c r="C9" t="s">
        <v>2</v>
      </c>
      <c r="D9">
        <v>1015717</v>
      </c>
      <c r="E9">
        <v>967990</v>
      </c>
      <c r="F9"/>
    </row>
    <row r="10" spans="1:17" x14ac:dyDescent="0.25">
      <c r="A10">
        <v>528</v>
      </c>
      <c r="B10" t="s">
        <v>13</v>
      </c>
      <c r="C10" t="s">
        <v>3</v>
      </c>
      <c r="D10">
        <v>398463</v>
      </c>
      <c r="E10">
        <v>379740</v>
      </c>
      <c r="F10"/>
    </row>
    <row r="11" spans="1:17" x14ac:dyDescent="0.25">
      <c r="A11">
        <v>529</v>
      </c>
      <c r="B11" t="s">
        <v>253</v>
      </c>
      <c r="C11" t="s">
        <v>2</v>
      </c>
      <c r="D11">
        <v>388015</v>
      </c>
      <c r="E11">
        <v>369784</v>
      </c>
      <c r="F11"/>
    </row>
    <row r="12" spans="1:17" x14ac:dyDescent="0.25">
      <c r="A12">
        <v>530</v>
      </c>
      <c r="B12" t="s">
        <v>253</v>
      </c>
      <c r="C12" t="s">
        <v>3</v>
      </c>
      <c r="D12">
        <v>135877</v>
      </c>
      <c r="E12">
        <v>129492</v>
      </c>
      <c r="F12"/>
    </row>
    <row r="13" spans="1:17" x14ac:dyDescent="0.25">
      <c r="A13">
        <v>531</v>
      </c>
      <c r="B13" t="s">
        <v>14</v>
      </c>
      <c r="C13" t="s">
        <v>2</v>
      </c>
      <c r="D13">
        <v>3274887</v>
      </c>
      <c r="E13">
        <v>3121009</v>
      </c>
      <c r="F13"/>
    </row>
    <row r="14" spans="1:17" x14ac:dyDescent="0.25">
      <c r="A14">
        <v>532</v>
      </c>
      <c r="B14" t="s">
        <v>14</v>
      </c>
      <c r="C14" t="s">
        <v>3</v>
      </c>
      <c r="D14">
        <v>1357086</v>
      </c>
      <c r="E14">
        <v>1293320</v>
      </c>
      <c r="F14"/>
    </row>
    <row r="15" spans="1:17" x14ac:dyDescent="0.25">
      <c r="A15">
        <v>533</v>
      </c>
      <c r="B15" t="s">
        <v>28</v>
      </c>
      <c r="C15" t="s">
        <v>2</v>
      </c>
      <c r="D15">
        <v>331566</v>
      </c>
      <c r="E15">
        <v>315986</v>
      </c>
      <c r="F15"/>
    </row>
    <row r="16" spans="1:17" x14ac:dyDescent="0.25">
      <c r="A16">
        <v>534</v>
      </c>
      <c r="B16" t="s">
        <v>28</v>
      </c>
      <c r="C16" t="s">
        <v>3</v>
      </c>
      <c r="D16">
        <v>163227</v>
      </c>
      <c r="E16">
        <v>155557</v>
      </c>
      <c r="F16"/>
    </row>
    <row r="17" spans="1:6" x14ac:dyDescent="0.25">
      <c r="A17">
        <v>535</v>
      </c>
      <c r="B17" t="s">
        <v>254</v>
      </c>
      <c r="C17" t="s">
        <v>2</v>
      </c>
      <c r="D17">
        <v>178476</v>
      </c>
      <c r="E17">
        <v>170090</v>
      </c>
      <c r="F17"/>
    </row>
    <row r="18" spans="1:6" x14ac:dyDescent="0.25">
      <c r="A18">
        <v>536</v>
      </c>
      <c r="B18" t="s">
        <v>254</v>
      </c>
      <c r="C18" t="s">
        <v>3</v>
      </c>
      <c r="D18">
        <v>135779</v>
      </c>
      <c r="E18">
        <v>129399</v>
      </c>
      <c r="F18"/>
    </row>
    <row r="19" spans="1:6" x14ac:dyDescent="0.25">
      <c r="A19">
        <v>537</v>
      </c>
      <c r="B19" t="s">
        <v>29</v>
      </c>
      <c r="C19" t="s">
        <v>2</v>
      </c>
      <c r="D19">
        <v>1626</v>
      </c>
      <c r="E19">
        <v>1550</v>
      </c>
      <c r="F19"/>
    </row>
    <row r="20" spans="1:6" x14ac:dyDescent="0.25">
      <c r="A20">
        <v>538</v>
      </c>
      <c r="B20" t="s">
        <v>29</v>
      </c>
      <c r="C20" t="s">
        <v>3</v>
      </c>
      <c r="D20">
        <v>47220</v>
      </c>
      <c r="E20">
        <v>45001</v>
      </c>
    </row>
    <row r="21" spans="1:6" x14ac:dyDescent="0.25">
      <c r="A21">
        <v>539</v>
      </c>
      <c r="B21" t="s">
        <v>15</v>
      </c>
      <c r="C21" t="s">
        <v>2</v>
      </c>
      <c r="D21">
        <v>4862</v>
      </c>
      <c r="E21">
        <v>4636</v>
      </c>
    </row>
    <row r="22" spans="1:6" x14ac:dyDescent="0.25">
      <c r="A22">
        <v>540</v>
      </c>
      <c r="B22" t="s">
        <v>15</v>
      </c>
      <c r="C22" t="s">
        <v>3</v>
      </c>
      <c r="D22">
        <v>0</v>
      </c>
      <c r="E22">
        <v>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936CD-40D4-404F-9E87-07017D78B189}">
  <sheetPr codeName="Sheet7"/>
  <dimension ref="A1:O18"/>
  <sheetViews>
    <sheetView workbookViewId="0">
      <selection activeCell="B5" sqref="A3:D8"/>
    </sheetView>
  </sheetViews>
  <sheetFormatPr defaultRowHeight="15" x14ac:dyDescent="0.25"/>
  <cols>
    <col min="1" max="1" width="15.85546875" customWidth="1"/>
    <col min="2" max="2" width="43.140625" bestFit="1" customWidth="1"/>
    <col min="3" max="3" width="18.5703125" customWidth="1"/>
    <col min="4" max="4" width="18.5703125" style="2" customWidth="1"/>
    <col min="5" max="5" width="12.42578125" style="2" bestFit="1" customWidth="1"/>
  </cols>
  <sheetData>
    <row r="1" spans="1:15" x14ac:dyDescent="0.25">
      <c r="B1" t="s">
        <v>16</v>
      </c>
    </row>
    <row r="2" spans="1:15" x14ac:dyDescent="0.25">
      <c r="A2" t="s">
        <v>243</v>
      </c>
      <c r="B2" t="s">
        <v>71</v>
      </c>
      <c r="C2" t="s">
        <v>186</v>
      </c>
      <c r="D2" t="s">
        <v>185</v>
      </c>
      <c r="E2" t="s">
        <v>9</v>
      </c>
      <c r="F2" t="s">
        <v>9</v>
      </c>
      <c r="G2" t="s">
        <v>9</v>
      </c>
      <c r="H2" t="s">
        <v>9</v>
      </c>
      <c r="I2" t="s">
        <v>9</v>
      </c>
      <c r="J2" t="s">
        <v>9</v>
      </c>
      <c r="K2" t="s">
        <v>9</v>
      </c>
      <c r="L2" t="s">
        <v>9</v>
      </c>
      <c r="M2" t="s">
        <v>9</v>
      </c>
      <c r="N2" t="s">
        <v>9</v>
      </c>
      <c r="O2" t="s">
        <v>9</v>
      </c>
    </row>
    <row r="3" spans="1:15" x14ac:dyDescent="0.25">
      <c r="A3">
        <v>641</v>
      </c>
      <c r="B3" t="s">
        <v>135</v>
      </c>
      <c r="C3">
        <v>142398</v>
      </c>
      <c r="D3">
        <v>4704</v>
      </c>
      <c r="E3"/>
    </row>
    <row r="4" spans="1:15" x14ac:dyDescent="0.25">
      <c r="A4">
        <v>642</v>
      </c>
      <c r="B4" t="s">
        <v>136</v>
      </c>
      <c r="C4">
        <v>104958</v>
      </c>
      <c r="D4">
        <v>5450</v>
      </c>
      <c r="E4"/>
    </row>
    <row r="5" spans="1:15" x14ac:dyDescent="0.25">
      <c r="A5">
        <v>643</v>
      </c>
      <c r="B5" t="s">
        <v>137</v>
      </c>
      <c r="C5">
        <v>79321</v>
      </c>
      <c r="D5">
        <v>3593</v>
      </c>
      <c r="E5"/>
    </row>
    <row r="6" spans="1:15" x14ac:dyDescent="0.25">
      <c r="A6">
        <v>644</v>
      </c>
      <c r="B6" t="s">
        <v>138</v>
      </c>
      <c r="C6">
        <v>31545</v>
      </c>
      <c r="D6">
        <v>1237</v>
      </c>
      <c r="E6"/>
    </row>
    <row r="7" spans="1:15" x14ac:dyDescent="0.25">
      <c r="A7">
        <v>645</v>
      </c>
      <c r="B7" t="s">
        <v>129</v>
      </c>
      <c r="C7">
        <v>31594</v>
      </c>
      <c r="D7">
        <v>958</v>
      </c>
      <c r="E7"/>
    </row>
    <row r="8" spans="1:15" x14ac:dyDescent="0.25">
      <c r="A8">
        <v>646</v>
      </c>
      <c r="B8" t="s">
        <v>139</v>
      </c>
      <c r="C8">
        <v>850429</v>
      </c>
      <c r="D8">
        <v>3779</v>
      </c>
      <c r="E8"/>
    </row>
    <row r="9" spans="1:15" x14ac:dyDescent="0.25">
      <c r="B9" t="s">
        <v>9</v>
      </c>
      <c r="C9" s="2"/>
      <c r="E9"/>
    </row>
    <row r="10" spans="1:15" x14ac:dyDescent="0.25">
      <c r="B10" t="s">
        <v>9</v>
      </c>
      <c r="C10" s="2"/>
      <c r="E10"/>
    </row>
    <row r="11" spans="1:15" x14ac:dyDescent="0.25">
      <c r="B11" t="s">
        <v>9</v>
      </c>
      <c r="C11" s="2"/>
      <c r="E11"/>
    </row>
    <row r="12" spans="1:15" x14ac:dyDescent="0.25">
      <c r="B12" t="s">
        <v>9</v>
      </c>
      <c r="C12" s="2"/>
      <c r="E12"/>
    </row>
    <row r="13" spans="1:15" x14ac:dyDescent="0.25">
      <c r="B13" t="s">
        <v>9</v>
      </c>
      <c r="C13" s="2"/>
      <c r="E13"/>
    </row>
    <row r="14" spans="1:15" x14ac:dyDescent="0.25">
      <c r="B14" t="s">
        <v>9</v>
      </c>
      <c r="C14" s="2"/>
      <c r="E14"/>
    </row>
    <row r="15" spans="1:15" x14ac:dyDescent="0.25">
      <c r="B15" t="s">
        <v>9</v>
      </c>
      <c r="C15" s="2"/>
      <c r="E15"/>
    </row>
    <row r="16" spans="1:15" x14ac:dyDescent="0.25">
      <c r="B16" t="s">
        <v>9</v>
      </c>
      <c r="C16" s="2"/>
      <c r="E16"/>
    </row>
    <row r="17" spans="2:5" x14ac:dyDescent="0.25">
      <c r="B17" t="s">
        <v>9</v>
      </c>
      <c r="C17" s="2"/>
      <c r="E17"/>
    </row>
    <row r="18" spans="2:5" x14ac:dyDescent="0.25">
      <c r="B18" t="s">
        <v>9</v>
      </c>
      <c r="C18" s="2"/>
      <c r="E18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4E5F9-4856-4533-8C31-265F1D80A376}">
  <sheetPr codeName="Sheet8"/>
  <dimension ref="A1:K41"/>
  <sheetViews>
    <sheetView zoomScaleNormal="100" workbookViewId="0">
      <selection activeCell="B7" sqref="B7"/>
    </sheetView>
  </sheetViews>
  <sheetFormatPr defaultRowHeight="15" x14ac:dyDescent="0.25"/>
  <cols>
    <col min="1" max="1" width="12.5703125" customWidth="1"/>
    <col min="2" max="2" width="67.7109375" bestFit="1" customWidth="1"/>
    <col min="3" max="3" width="41.7109375" customWidth="1"/>
    <col min="4" max="4" width="45" style="3" customWidth="1"/>
    <col min="5" max="5" width="40.42578125" style="2" customWidth="1"/>
    <col min="6" max="6" width="44.140625" style="2" customWidth="1"/>
  </cols>
  <sheetData>
    <row r="1" spans="1:11" x14ac:dyDescent="0.25">
      <c r="B1" t="s">
        <v>17</v>
      </c>
    </row>
    <row r="2" spans="1:11" x14ac:dyDescent="0.25">
      <c r="A2" t="s">
        <v>242</v>
      </c>
      <c r="B2" t="s">
        <v>71</v>
      </c>
      <c r="C2" t="s">
        <v>140</v>
      </c>
      <c r="D2" t="s">
        <v>141</v>
      </c>
      <c r="E2" t="s">
        <v>217</v>
      </c>
      <c r="F2" t="s">
        <v>216</v>
      </c>
      <c r="G2" t="s">
        <v>9</v>
      </c>
      <c r="H2" t="s">
        <v>9</v>
      </c>
      <c r="I2" t="s">
        <v>9</v>
      </c>
      <c r="J2" t="s">
        <v>9</v>
      </c>
      <c r="K2" t="s">
        <v>9</v>
      </c>
    </row>
    <row r="3" spans="1:11" x14ac:dyDescent="0.25">
      <c r="A3">
        <v>41</v>
      </c>
      <c r="B3" t="s">
        <v>52</v>
      </c>
      <c r="C3">
        <v>2798249</v>
      </c>
      <c r="D3">
        <v>2073256</v>
      </c>
      <c r="E3">
        <v>148891</v>
      </c>
      <c r="F3">
        <v>2389</v>
      </c>
    </row>
    <row r="4" spans="1:11" x14ac:dyDescent="0.25">
      <c r="A4">
        <v>42</v>
      </c>
      <c r="B4" t="s">
        <v>75</v>
      </c>
      <c r="C4">
        <v>24316</v>
      </c>
      <c r="D4">
        <v>46127</v>
      </c>
      <c r="E4">
        <v>2705</v>
      </c>
      <c r="F4">
        <v>48</v>
      </c>
    </row>
    <row r="5" spans="1:11" x14ac:dyDescent="0.25">
      <c r="A5">
        <v>43</v>
      </c>
      <c r="B5" t="s">
        <v>170</v>
      </c>
      <c r="C5">
        <v>978659</v>
      </c>
      <c r="D5">
        <v>1055046</v>
      </c>
      <c r="E5">
        <v>51385</v>
      </c>
      <c r="F5">
        <v>1864</v>
      </c>
    </row>
    <row r="6" spans="1:11" x14ac:dyDescent="0.25">
      <c r="A6">
        <v>44</v>
      </c>
      <c r="B6" t="s">
        <v>50</v>
      </c>
      <c r="C6">
        <v>2066890</v>
      </c>
      <c r="D6">
        <v>1232412</v>
      </c>
      <c r="E6">
        <v>14899</v>
      </c>
      <c r="F6">
        <v>501</v>
      </c>
    </row>
    <row r="7" spans="1:11" x14ac:dyDescent="0.25">
      <c r="A7">
        <v>45</v>
      </c>
      <c r="B7" t="s">
        <v>129</v>
      </c>
      <c r="C7">
        <v>10737633</v>
      </c>
      <c r="D7">
        <v>9394963</v>
      </c>
      <c r="E7">
        <v>148954</v>
      </c>
      <c r="F7">
        <v>5512</v>
      </c>
    </row>
    <row r="8" spans="1:11" x14ac:dyDescent="0.25">
      <c r="A8">
        <v>46</v>
      </c>
      <c r="B8" t="s">
        <v>53</v>
      </c>
      <c r="C8">
        <v>487428</v>
      </c>
      <c r="D8">
        <v>242244</v>
      </c>
      <c r="E8">
        <v>13493</v>
      </c>
      <c r="F8">
        <v>48</v>
      </c>
    </row>
    <row r="9" spans="1:11" x14ac:dyDescent="0.25">
      <c r="A9">
        <v>47</v>
      </c>
      <c r="B9" t="s">
        <v>76</v>
      </c>
      <c r="C9">
        <v>973152</v>
      </c>
      <c r="D9">
        <v>784490</v>
      </c>
      <c r="E9">
        <v>7779</v>
      </c>
      <c r="F9">
        <v>196</v>
      </c>
    </row>
    <row r="10" spans="1:11" x14ac:dyDescent="0.25">
      <c r="A10">
        <v>48</v>
      </c>
      <c r="B10" t="s">
        <v>77</v>
      </c>
      <c r="C10">
        <v>185804</v>
      </c>
      <c r="D10">
        <v>142309</v>
      </c>
      <c r="E10">
        <v>13728</v>
      </c>
      <c r="F10">
        <v>86</v>
      </c>
    </row>
    <row r="11" spans="1:11" x14ac:dyDescent="0.25">
      <c r="A11">
        <v>49</v>
      </c>
      <c r="B11" t="s">
        <v>60</v>
      </c>
      <c r="C11">
        <v>51345</v>
      </c>
      <c r="D11">
        <v>53075</v>
      </c>
      <c r="E11">
        <v>71978</v>
      </c>
      <c r="F11">
        <v>6559</v>
      </c>
    </row>
    <row r="12" spans="1:11" x14ac:dyDescent="0.25">
      <c r="A12">
        <v>50</v>
      </c>
      <c r="B12" t="s">
        <v>130</v>
      </c>
      <c r="C12">
        <v>10154464</v>
      </c>
      <c r="D12">
        <v>59259</v>
      </c>
      <c r="E12">
        <v>24518</v>
      </c>
      <c r="F12">
        <v>812</v>
      </c>
    </row>
    <row r="13" spans="1:11" x14ac:dyDescent="0.25">
      <c r="A13">
        <v>51</v>
      </c>
      <c r="B13" t="s">
        <v>78</v>
      </c>
      <c r="C13">
        <v>260392</v>
      </c>
      <c r="D13">
        <v>130216</v>
      </c>
      <c r="E13">
        <v>9284</v>
      </c>
      <c r="F13">
        <v>85</v>
      </c>
    </row>
    <row r="14" spans="1:11" x14ac:dyDescent="0.25">
      <c r="A14">
        <v>52</v>
      </c>
      <c r="B14" t="s">
        <v>259</v>
      </c>
      <c r="C14">
        <v>5189</v>
      </c>
      <c r="D14">
        <v>2686</v>
      </c>
      <c r="E14">
        <v>1024</v>
      </c>
      <c r="F14">
        <v>15</v>
      </c>
    </row>
    <row r="15" spans="1:11" x14ac:dyDescent="0.25">
      <c r="A15">
        <v>53</v>
      </c>
      <c r="B15" t="s">
        <v>132</v>
      </c>
      <c r="C15">
        <v>973152</v>
      </c>
      <c r="D15">
        <v>550771</v>
      </c>
      <c r="E15">
        <v>12122</v>
      </c>
      <c r="F15">
        <v>1460.76923076923</v>
      </c>
    </row>
    <row r="16" spans="1:11" x14ac:dyDescent="0.25">
      <c r="A16">
        <v>54</v>
      </c>
      <c r="B16" t="s">
        <v>142</v>
      </c>
      <c r="C16">
        <v>973152</v>
      </c>
      <c r="D16">
        <v>550771</v>
      </c>
      <c r="E16">
        <v>30616</v>
      </c>
      <c r="F16">
        <v>1460.76923076923</v>
      </c>
    </row>
    <row r="17" spans="1:6" x14ac:dyDescent="0.25">
      <c r="A17">
        <v>55</v>
      </c>
      <c r="B17" t="s">
        <v>134</v>
      </c>
      <c r="C17">
        <v>973152</v>
      </c>
      <c r="D17">
        <v>550771</v>
      </c>
      <c r="E17">
        <v>57460</v>
      </c>
      <c r="F17">
        <v>875</v>
      </c>
    </row>
    <row r="18" spans="1:6" x14ac:dyDescent="0.25">
      <c r="A18">
        <v>56</v>
      </c>
      <c r="B18" t="s">
        <v>131</v>
      </c>
      <c r="C18">
        <v>1651146</v>
      </c>
      <c r="D18">
        <v>1189502</v>
      </c>
      <c r="E18">
        <v>59602</v>
      </c>
      <c r="F18">
        <v>1460.76923076923</v>
      </c>
    </row>
    <row r="20" spans="1:6" x14ac:dyDescent="0.25">
      <c r="B20" t="s">
        <v>176</v>
      </c>
      <c r="C20" s="2">
        <v>973152</v>
      </c>
      <c r="D20" s="2">
        <v>550770.5</v>
      </c>
      <c r="E20" s="2">
        <v>19708.5</v>
      </c>
      <c r="F20" s="2">
        <v>1460.76923076923</v>
      </c>
    </row>
    <row r="21" spans="1:6" x14ac:dyDescent="0.25">
      <c r="B21" t="s">
        <v>73</v>
      </c>
    </row>
    <row r="41" spans="6:6" x14ac:dyDescent="0.25">
      <c r="F41"/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48181-67C6-42DE-8456-54F3E627763A}">
  <sheetPr codeName="Sheet10"/>
  <dimension ref="A1:N19"/>
  <sheetViews>
    <sheetView workbookViewId="0">
      <selection activeCell="B11" sqref="B11"/>
    </sheetView>
  </sheetViews>
  <sheetFormatPr defaultRowHeight="15" x14ac:dyDescent="0.25"/>
  <cols>
    <col min="1" max="1" width="15.28515625" customWidth="1"/>
    <col min="2" max="2" width="47.140625" bestFit="1" customWidth="1"/>
    <col min="3" max="3" width="17.5703125" customWidth="1"/>
    <col min="4" max="5" width="12.85546875" style="3" customWidth="1"/>
    <col min="6" max="6" width="5.5703125" style="3" bestFit="1" customWidth="1"/>
  </cols>
  <sheetData>
    <row r="1" spans="1:14" x14ac:dyDescent="0.25">
      <c r="B1" s="1" t="s">
        <v>18</v>
      </c>
      <c r="C1" s="1"/>
      <c r="D1" s="8"/>
      <c r="E1" s="8"/>
    </row>
    <row r="2" spans="1:14" x14ac:dyDescent="0.25">
      <c r="A2" t="s">
        <v>232</v>
      </c>
      <c r="B2" t="s">
        <v>188</v>
      </c>
      <c r="C2" t="s">
        <v>214</v>
      </c>
      <c r="D2" t="s">
        <v>187</v>
      </c>
      <c r="E2" t="s">
        <v>215</v>
      </c>
      <c r="F2" s="1" t="s">
        <v>9</v>
      </c>
      <c r="G2" s="1" t="s">
        <v>9</v>
      </c>
      <c r="H2" s="1" t="s">
        <v>9</v>
      </c>
      <c r="I2" s="1" t="s">
        <v>9</v>
      </c>
      <c r="J2" s="1" t="s">
        <v>9</v>
      </c>
      <c r="K2" s="1" t="s">
        <v>9</v>
      </c>
      <c r="L2" s="1" t="s">
        <v>9</v>
      </c>
      <c r="M2" s="1" t="s">
        <v>9</v>
      </c>
      <c r="N2" s="1" t="s">
        <v>9</v>
      </c>
    </row>
    <row r="3" spans="1:14" x14ac:dyDescent="0.25">
      <c r="A3">
        <v>241</v>
      </c>
      <c r="B3" t="s">
        <v>143</v>
      </c>
      <c r="C3">
        <v>129216</v>
      </c>
      <c r="D3">
        <v>112213</v>
      </c>
      <c r="E3">
        <v>12089</v>
      </c>
      <c r="F3"/>
    </row>
    <row r="4" spans="1:14" x14ac:dyDescent="0.25">
      <c r="A4">
        <v>242</v>
      </c>
      <c r="B4" t="s">
        <v>261</v>
      </c>
      <c r="C4">
        <v>46550</v>
      </c>
      <c r="D4">
        <v>72164</v>
      </c>
      <c r="E4">
        <v>5933</v>
      </c>
      <c r="F4"/>
    </row>
    <row r="5" spans="1:14" ht="30" x14ac:dyDescent="0.25">
      <c r="A5">
        <v>243</v>
      </c>
      <c r="B5" s="29" t="s">
        <v>260</v>
      </c>
      <c r="C5">
        <v>748884</v>
      </c>
      <c r="D5">
        <v>265090</v>
      </c>
      <c r="E5">
        <v>28328</v>
      </c>
      <c r="F5"/>
    </row>
    <row r="6" spans="1:14" x14ac:dyDescent="0.25">
      <c r="A6">
        <v>244</v>
      </c>
      <c r="B6" t="s">
        <v>144</v>
      </c>
      <c r="C6">
        <v>5417999</v>
      </c>
      <c r="D6">
        <v>499655</v>
      </c>
      <c r="E6">
        <v>36789</v>
      </c>
      <c r="F6"/>
    </row>
    <row r="7" spans="1:14" x14ac:dyDescent="0.25">
      <c r="A7">
        <v>245</v>
      </c>
      <c r="B7" t="s">
        <v>129</v>
      </c>
      <c r="C7">
        <v>346216</v>
      </c>
      <c r="D7">
        <v>199025</v>
      </c>
      <c r="E7">
        <v>18033</v>
      </c>
      <c r="F7"/>
    </row>
    <row r="8" spans="1:14" x14ac:dyDescent="0.25">
      <c r="A8">
        <v>246</v>
      </c>
      <c r="B8" t="s">
        <v>145</v>
      </c>
      <c r="C8">
        <v>519663</v>
      </c>
      <c r="D8">
        <v>206346</v>
      </c>
      <c r="E8">
        <v>17541</v>
      </c>
      <c r="F8"/>
    </row>
    <row r="9" spans="1:14" x14ac:dyDescent="0.25">
      <c r="A9">
        <v>247</v>
      </c>
      <c r="B9" t="s">
        <v>146</v>
      </c>
      <c r="C9">
        <v>346216</v>
      </c>
      <c r="D9">
        <v>201226</v>
      </c>
      <c r="E9">
        <v>10510</v>
      </c>
      <c r="F9"/>
    </row>
    <row r="10" spans="1:14" x14ac:dyDescent="0.25">
      <c r="A10">
        <v>248</v>
      </c>
      <c r="B10" t="s">
        <v>47</v>
      </c>
      <c r="C10">
        <v>346216</v>
      </c>
      <c r="D10">
        <v>17769</v>
      </c>
      <c r="E10">
        <v>3294</v>
      </c>
      <c r="F10"/>
    </row>
    <row r="11" spans="1:14" x14ac:dyDescent="0.25">
      <c r="B11" s="1" t="s">
        <v>9</v>
      </c>
      <c r="C11" s="2"/>
      <c r="D11" s="2"/>
      <c r="E11" s="2"/>
      <c r="F11"/>
    </row>
    <row r="12" spans="1:14" x14ac:dyDescent="0.25">
      <c r="B12" s="1" t="s">
        <v>9</v>
      </c>
      <c r="C12" s="2">
        <f>MEDIAN(C3:C10)</f>
        <v>346216</v>
      </c>
      <c r="D12" s="2"/>
      <c r="E12" s="2"/>
      <c r="F12"/>
    </row>
    <row r="13" spans="1:14" x14ac:dyDescent="0.25">
      <c r="B13" s="1" t="s">
        <v>9</v>
      </c>
      <c r="C13" s="2"/>
      <c r="D13" s="2"/>
      <c r="E13" s="2"/>
      <c r="F13"/>
    </row>
    <row r="14" spans="1:14" x14ac:dyDescent="0.25">
      <c r="B14" s="1" t="s">
        <v>9</v>
      </c>
      <c r="C14" s="2"/>
      <c r="D14" s="2"/>
      <c r="E14" s="2"/>
      <c r="F14"/>
    </row>
    <row r="15" spans="1:14" x14ac:dyDescent="0.25">
      <c r="B15" s="1" t="s">
        <v>9</v>
      </c>
      <c r="C15" s="2"/>
      <c r="D15" s="2"/>
      <c r="E15" s="2"/>
      <c r="F15"/>
    </row>
    <row r="16" spans="1:14" x14ac:dyDescent="0.25">
      <c r="B16" s="1" t="s">
        <v>9</v>
      </c>
      <c r="C16" s="2"/>
      <c r="D16" s="2"/>
      <c r="E16" s="2"/>
      <c r="F16"/>
    </row>
    <row r="17" spans="2:6" x14ac:dyDescent="0.25">
      <c r="B17" s="1" t="s">
        <v>9</v>
      </c>
      <c r="C17" s="2"/>
      <c r="D17" s="2"/>
      <c r="E17" s="2"/>
      <c r="F17"/>
    </row>
    <row r="18" spans="2:6" x14ac:dyDescent="0.25">
      <c r="B18" s="1" t="s">
        <v>9</v>
      </c>
      <c r="C18" s="2"/>
      <c r="D18" s="2"/>
      <c r="E18" s="2"/>
      <c r="F18"/>
    </row>
    <row r="19" spans="2:6" x14ac:dyDescent="0.25">
      <c r="B19" s="1" t="s">
        <v>9</v>
      </c>
      <c r="C19" s="2"/>
      <c r="D19" s="2"/>
      <c r="E19" s="2"/>
      <c r="F19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679E0-E905-4CC9-9472-F821853AAFDA}">
  <sheetPr codeName="Sheet11"/>
  <dimension ref="A1:P18"/>
  <sheetViews>
    <sheetView workbookViewId="0">
      <selection activeCell="C9" sqref="A3:E9"/>
    </sheetView>
  </sheetViews>
  <sheetFormatPr defaultRowHeight="15" x14ac:dyDescent="0.25"/>
  <cols>
    <col min="1" max="1" width="20.140625" customWidth="1"/>
    <col min="2" max="2" width="18.28515625" customWidth="1"/>
    <col min="3" max="3" width="41.42578125" bestFit="1" customWidth="1"/>
    <col min="4" max="4" width="18.5703125" customWidth="1"/>
    <col min="5" max="5" width="18.5703125" style="11" customWidth="1"/>
    <col min="6" max="6" width="13.85546875" style="11" bestFit="1" customWidth="1"/>
    <col min="7" max="7" width="11" bestFit="1" customWidth="1"/>
    <col min="8" max="8" width="12.42578125" bestFit="1" customWidth="1"/>
  </cols>
  <sheetData>
    <row r="1" spans="1:16" x14ac:dyDescent="0.25">
      <c r="C1" s="1" t="s">
        <v>19</v>
      </c>
      <c r="D1" s="1"/>
      <c r="E1" s="10"/>
    </row>
    <row r="2" spans="1:16" x14ac:dyDescent="0.25">
      <c r="A2" t="s">
        <v>231</v>
      </c>
      <c r="B2" t="s">
        <v>244</v>
      </c>
      <c r="C2" t="s">
        <v>189</v>
      </c>
      <c r="D2" t="s">
        <v>186</v>
      </c>
      <c r="E2" t="s">
        <v>185</v>
      </c>
      <c r="F2" s="1" t="s">
        <v>9</v>
      </c>
      <c r="G2" s="1" t="s">
        <v>9</v>
      </c>
      <c r="H2" s="1" t="s">
        <v>9</v>
      </c>
      <c r="I2" s="1" t="s">
        <v>9</v>
      </c>
      <c r="J2" s="1" t="s">
        <v>9</v>
      </c>
      <c r="K2" s="1" t="s">
        <v>9</v>
      </c>
      <c r="L2" s="1" t="s">
        <v>9</v>
      </c>
      <c r="M2" s="1" t="s">
        <v>9</v>
      </c>
      <c r="N2" s="1" t="s">
        <v>9</v>
      </c>
      <c r="O2" s="1" t="s">
        <v>9</v>
      </c>
      <c r="P2" s="1" t="s">
        <v>9</v>
      </c>
    </row>
    <row r="3" spans="1:16" x14ac:dyDescent="0.25">
      <c r="A3">
        <v>161</v>
      </c>
      <c r="B3">
        <v>681</v>
      </c>
      <c r="C3" t="s">
        <v>147</v>
      </c>
      <c r="D3">
        <v>881603</v>
      </c>
      <c r="E3">
        <v>51554</v>
      </c>
      <c r="F3"/>
    </row>
    <row r="4" spans="1:16" x14ac:dyDescent="0.25">
      <c r="A4">
        <v>162</v>
      </c>
      <c r="B4">
        <v>682</v>
      </c>
      <c r="C4" t="s">
        <v>148</v>
      </c>
      <c r="D4">
        <v>866046</v>
      </c>
      <c r="E4">
        <v>53115</v>
      </c>
      <c r="F4"/>
    </row>
    <row r="5" spans="1:16" x14ac:dyDescent="0.25">
      <c r="A5">
        <v>163</v>
      </c>
      <c r="B5">
        <v>683</v>
      </c>
      <c r="C5" t="s">
        <v>149</v>
      </c>
      <c r="D5">
        <v>795052</v>
      </c>
      <c r="E5">
        <v>52905</v>
      </c>
      <c r="F5"/>
    </row>
    <row r="6" spans="1:16" x14ac:dyDescent="0.25">
      <c r="A6">
        <v>164</v>
      </c>
      <c r="B6">
        <v>684</v>
      </c>
      <c r="C6" t="s">
        <v>150</v>
      </c>
      <c r="D6">
        <v>566283</v>
      </c>
      <c r="E6">
        <v>45849</v>
      </c>
      <c r="F6"/>
    </row>
    <row r="7" spans="1:16" x14ac:dyDescent="0.25">
      <c r="A7">
        <v>165</v>
      </c>
      <c r="B7">
        <v>685</v>
      </c>
      <c r="C7" t="s">
        <v>129</v>
      </c>
      <c r="D7">
        <v>43960</v>
      </c>
      <c r="E7">
        <v>1258</v>
      </c>
      <c r="F7"/>
    </row>
    <row r="8" spans="1:16" x14ac:dyDescent="0.25">
      <c r="A8">
        <v>166</v>
      </c>
      <c r="B8">
        <v>686</v>
      </c>
      <c r="C8" t="s">
        <v>262</v>
      </c>
      <c r="D8">
        <v>27340</v>
      </c>
      <c r="E8">
        <v>1501</v>
      </c>
      <c r="F8"/>
    </row>
    <row r="9" spans="1:16" x14ac:dyDescent="0.25">
      <c r="A9">
        <v>167</v>
      </c>
      <c r="B9">
        <v>687</v>
      </c>
      <c r="C9" t="s">
        <v>151</v>
      </c>
      <c r="D9">
        <v>24276</v>
      </c>
      <c r="E9">
        <v>1388</v>
      </c>
      <c r="F9"/>
    </row>
    <row r="10" spans="1:16" x14ac:dyDescent="0.25">
      <c r="C10" s="1" t="s">
        <v>9</v>
      </c>
      <c r="D10" s="2"/>
      <c r="E10" s="2"/>
      <c r="F10"/>
    </row>
    <row r="11" spans="1:16" x14ac:dyDescent="0.25">
      <c r="C11" s="1" t="s">
        <v>9</v>
      </c>
      <c r="D11" s="2"/>
      <c r="E11" s="2"/>
      <c r="F11"/>
    </row>
    <row r="12" spans="1:16" x14ac:dyDescent="0.25">
      <c r="C12" s="1" t="s">
        <v>9</v>
      </c>
      <c r="D12" s="2"/>
      <c r="E12" s="2"/>
      <c r="F12"/>
    </row>
    <row r="13" spans="1:16" x14ac:dyDescent="0.25">
      <c r="C13" s="1" t="s">
        <v>9</v>
      </c>
      <c r="D13" s="2"/>
      <c r="E13" s="2"/>
      <c r="F13"/>
    </row>
    <row r="14" spans="1:16" x14ac:dyDescent="0.25">
      <c r="C14" s="1" t="s">
        <v>9</v>
      </c>
      <c r="D14" s="2"/>
      <c r="E14" s="2"/>
      <c r="F14"/>
    </row>
    <row r="15" spans="1:16" x14ac:dyDescent="0.25">
      <c r="C15" s="1" t="s">
        <v>9</v>
      </c>
      <c r="D15" s="2"/>
      <c r="E15" s="2"/>
      <c r="F15"/>
    </row>
    <row r="16" spans="1:16" x14ac:dyDescent="0.25">
      <c r="C16" s="1" t="s">
        <v>9</v>
      </c>
      <c r="D16" s="2"/>
      <c r="E16" s="2"/>
      <c r="F16"/>
    </row>
    <row r="17" spans="3:6" x14ac:dyDescent="0.25">
      <c r="C17" s="1" t="s">
        <v>9</v>
      </c>
      <c r="D17" s="2"/>
      <c r="E17" s="2"/>
      <c r="F17"/>
    </row>
    <row r="18" spans="3:6" x14ac:dyDescent="0.25">
      <c r="C18" s="1" t="s">
        <v>9</v>
      </c>
      <c r="D18" s="2"/>
      <c r="E18" s="2"/>
      <c r="F18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A8289-7BA9-4446-BAC4-64EDCBCF5C8D}">
  <sheetPr codeName="Sheet12"/>
  <dimension ref="A1:F20"/>
  <sheetViews>
    <sheetView zoomScale="90" zoomScaleNormal="90" workbookViewId="0">
      <selection activeCell="B13" sqref="B13"/>
    </sheetView>
  </sheetViews>
  <sheetFormatPr defaultRowHeight="15" x14ac:dyDescent="0.25"/>
  <cols>
    <col min="1" max="1" width="17" customWidth="1"/>
    <col min="2" max="2" width="79.85546875" bestFit="1" customWidth="1"/>
    <col min="3" max="3" width="17.28515625" customWidth="1"/>
    <col min="4" max="4" width="13" style="2" customWidth="1"/>
    <col min="5" max="5" width="30" style="3" customWidth="1"/>
    <col min="6" max="6" width="8" style="2" bestFit="1" customWidth="1"/>
  </cols>
  <sheetData>
    <row r="1" spans="1:6" x14ac:dyDescent="0.25">
      <c r="B1" s="1" t="s">
        <v>20</v>
      </c>
      <c r="C1" s="1"/>
      <c r="F1" s="6"/>
    </row>
    <row r="2" spans="1:6" x14ac:dyDescent="0.25">
      <c r="A2" t="s">
        <v>244</v>
      </c>
      <c r="B2" t="s">
        <v>190</v>
      </c>
      <c r="C2" t="s">
        <v>214</v>
      </c>
      <c r="D2" t="s">
        <v>187</v>
      </c>
      <c r="E2" t="s">
        <v>213</v>
      </c>
      <c r="F2"/>
    </row>
    <row r="3" spans="1:6" x14ac:dyDescent="0.25">
      <c r="A3">
        <v>681</v>
      </c>
      <c r="B3" t="s">
        <v>52</v>
      </c>
      <c r="C3">
        <v>86739</v>
      </c>
      <c r="D3">
        <v>39943</v>
      </c>
      <c r="E3">
        <v>278985</v>
      </c>
      <c r="F3"/>
    </row>
    <row r="4" spans="1:6" x14ac:dyDescent="0.25">
      <c r="A4">
        <v>682</v>
      </c>
      <c r="B4" t="s">
        <v>75</v>
      </c>
      <c r="C4">
        <v>57227</v>
      </c>
      <c r="D4">
        <v>1502</v>
      </c>
      <c r="E4">
        <v>4632</v>
      </c>
      <c r="F4"/>
    </row>
    <row r="5" spans="1:6" x14ac:dyDescent="0.25">
      <c r="A5">
        <v>683</v>
      </c>
      <c r="B5" t="s">
        <v>170</v>
      </c>
      <c r="C5">
        <v>50423</v>
      </c>
      <c r="D5">
        <v>19506</v>
      </c>
      <c r="E5">
        <v>90572</v>
      </c>
      <c r="F5"/>
    </row>
    <row r="6" spans="1:6" x14ac:dyDescent="0.25">
      <c r="A6">
        <v>684</v>
      </c>
      <c r="B6" t="s">
        <v>50</v>
      </c>
      <c r="C6">
        <v>213759</v>
      </c>
      <c r="D6">
        <v>5539</v>
      </c>
      <c r="E6">
        <v>27401</v>
      </c>
      <c r="F6"/>
    </row>
    <row r="7" spans="1:6" x14ac:dyDescent="0.25">
      <c r="A7">
        <v>685</v>
      </c>
      <c r="B7" t="s">
        <v>152</v>
      </c>
      <c r="C7">
        <v>617988</v>
      </c>
      <c r="D7">
        <v>51514</v>
      </c>
      <c r="E7">
        <v>313774</v>
      </c>
      <c r="F7"/>
    </row>
    <row r="8" spans="1:6" x14ac:dyDescent="0.25">
      <c r="A8">
        <v>686</v>
      </c>
      <c r="B8" t="s">
        <v>53</v>
      </c>
      <c r="C8">
        <v>28104</v>
      </c>
      <c r="D8">
        <v>6556</v>
      </c>
      <c r="E8">
        <v>21500</v>
      </c>
      <c r="F8"/>
    </row>
    <row r="9" spans="1:6" x14ac:dyDescent="0.25">
      <c r="A9">
        <v>687</v>
      </c>
      <c r="B9" t="s">
        <v>76</v>
      </c>
      <c r="C9">
        <v>32893</v>
      </c>
      <c r="D9">
        <v>4171</v>
      </c>
      <c r="E9">
        <v>15004</v>
      </c>
      <c r="F9"/>
    </row>
    <row r="10" spans="1:6" x14ac:dyDescent="0.25">
      <c r="A10">
        <v>688</v>
      </c>
      <c r="B10" t="s">
        <v>77</v>
      </c>
      <c r="C10">
        <v>70144</v>
      </c>
      <c r="D10">
        <v>7721</v>
      </c>
      <c r="E10">
        <v>24832</v>
      </c>
      <c r="F10"/>
    </row>
    <row r="11" spans="1:6" x14ac:dyDescent="0.25">
      <c r="A11">
        <v>689</v>
      </c>
      <c r="B11" t="s">
        <v>60</v>
      </c>
      <c r="C11">
        <v>10677</v>
      </c>
      <c r="D11">
        <v>23007</v>
      </c>
      <c r="E11">
        <v>133697</v>
      </c>
      <c r="F11"/>
    </row>
    <row r="12" spans="1:6" x14ac:dyDescent="0.25">
      <c r="A12">
        <v>690</v>
      </c>
      <c r="B12" t="s">
        <v>153</v>
      </c>
      <c r="C12">
        <v>16699</v>
      </c>
      <c r="D12">
        <v>10973</v>
      </c>
      <c r="E12">
        <v>43510</v>
      </c>
      <c r="F12"/>
    </row>
    <row r="13" spans="1:6" x14ac:dyDescent="0.25">
      <c r="A13">
        <v>691</v>
      </c>
      <c r="B13" t="s">
        <v>78</v>
      </c>
      <c r="C13">
        <v>90569</v>
      </c>
      <c r="D13">
        <v>4167</v>
      </c>
      <c r="E13">
        <v>16680</v>
      </c>
      <c r="F13"/>
    </row>
    <row r="14" spans="1:6" ht="30" x14ac:dyDescent="0.25">
      <c r="A14">
        <v>692</v>
      </c>
      <c r="B14" s="29" t="s">
        <v>263</v>
      </c>
      <c r="C14">
        <v>4773</v>
      </c>
      <c r="D14">
        <v>0</v>
      </c>
      <c r="E14">
        <v>1321</v>
      </c>
      <c r="F14"/>
    </row>
    <row r="15" spans="1:6" x14ac:dyDescent="0.25">
      <c r="A15">
        <v>693</v>
      </c>
      <c r="B15" t="s">
        <v>132</v>
      </c>
      <c r="C15">
        <v>57227</v>
      </c>
      <c r="D15">
        <v>4304</v>
      </c>
      <c r="E15">
        <v>19688</v>
      </c>
      <c r="F15"/>
    </row>
    <row r="16" spans="1:6" x14ac:dyDescent="0.25">
      <c r="A16">
        <v>694</v>
      </c>
      <c r="B16" t="s">
        <v>133</v>
      </c>
      <c r="C16">
        <v>14241</v>
      </c>
      <c r="D16">
        <v>8186</v>
      </c>
      <c r="E16">
        <v>49842</v>
      </c>
      <c r="F16"/>
    </row>
    <row r="17" spans="1:6" ht="30" x14ac:dyDescent="0.25">
      <c r="A17">
        <v>695</v>
      </c>
      <c r="B17" s="29" t="s">
        <v>264</v>
      </c>
      <c r="C17">
        <v>63670</v>
      </c>
      <c r="D17">
        <v>22458</v>
      </c>
      <c r="E17">
        <v>94227</v>
      </c>
      <c r="F17"/>
    </row>
    <row r="18" spans="1:6" x14ac:dyDescent="0.25">
      <c r="A18">
        <v>696</v>
      </c>
      <c r="B18" t="s">
        <v>131</v>
      </c>
      <c r="C18">
        <v>238316</v>
      </c>
      <c r="D18">
        <v>14661</v>
      </c>
      <c r="E18">
        <v>105300</v>
      </c>
      <c r="F18"/>
    </row>
    <row r="20" spans="1:6" x14ac:dyDescent="0.25">
      <c r="C20" s="2">
        <f>MEDIAN(C3:C18)</f>
        <v>57227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90A49-001D-42A0-9F44-46AC516564D4}">
  <sheetPr codeName="Sheet13"/>
  <dimension ref="A1:O18"/>
  <sheetViews>
    <sheetView workbookViewId="0">
      <selection activeCell="A3" sqref="A3:D9"/>
    </sheetView>
  </sheetViews>
  <sheetFormatPr defaultRowHeight="15" x14ac:dyDescent="0.25"/>
  <cols>
    <col min="1" max="1" width="23" customWidth="1"/>
    <col min="2" max="2" width="36.7109375" bestFit="1" customWidth="1"/>
    <col min="3" max="3" width="19" customWidth="1"/>
    <col min="4" max="4" width="19" style="2" customWidth="1"/>
    <col min="5" max="5" width="12.42578125" style="2" bestFit="1" customWidth="1"/>
  </cols>
  <sheetData>
    <row r="1" spans="1:15" x14ac:dyDescent="0.25">
      <c r="B1" t="s">
        <v>21</v>
      </c>
    </row>
    <row r="2" spans="1:15" x14ac:dyDescent="0.25">
      <c r="A2" t="s">
        <v>234</v>
      </c>
      <c r="B2" t="s">
        <v>210</v>
      </c>
      <c r="C2" t="s">
        <v>212</v>
      </c>
      <c r="D2" t="s">
        <v>211</v>
      </c>
      <c r="E2" t="s">
        <v>9</v>
      </c>
      <c r="F2" t="s">
        <v>9</v>
      </c>
      <c r="G2" t="s">
        <v>9</v>
      </c>
      <c r="H2" t="s">
        <v>9</v>
      </c>
      <c r="I2" t="s">
        <v>9</v>
      </c>
      <c r="J2" t="s">
        <v>9</v>
      </c>
      <c r="K2" t="s">
        <v>9</v>
      </c>
      <c r="L2" t="s">
        <v>9</v>
      </c>
      <c r="M2" t="s">
        <v>9</v>
      </c>
      <c r="N2" t="s">
        <v>9</v>
      </c>
      <c r="O2" t="s">
        <v>9</v>
      </c>
    </row>
    <row r="3" spans="1:15" x14ac:dyDescent="0.25">
      <c r="A3">
        <v>321</v>
      </c>
      <c r="B3" t="s">
        <v>154</v>
      </c>
      <c r="C3">
        <v>470598</v>
      </c>
      <c r="D3">
        <v>18016</v>
      </c>
      <c r="E3"/>
    </row>
    <row r="4" spans="1:15" x14ac:dyDescent="0.25">
      <c r="A4">
        <v>322</v>
      </c>
      <c r="B4" t="s">
        <v>22</v>
      </c>
      <c r="C4">
        <v>164432</v>
      </c>
      <c r="D4">
        <v>14873</v>
      </c>
      <c r="E4"/>
    </row>
    <row r="5" spans="1:15" x14ac:dyDescent="0.25">
      <c r="A5">
        <v>323</v>
      </c>
      <c r="B5" t="s">
        <v>23</v>
      </c>
      <c r="C5">
        <v>60783</v>
      </c>
      <c r="D5">
        <v>4324</v>
      </c>
      <c r="E5"/>
    </row>
    <row r="6" spans="1:15" x14ac:dyDescent="0.25">
      <c r="A6">
        <v>324</v>
      </c>
      <c r="B6" t="s">
        <v>24</v>
      </c>
      <c r="C6">
        <v>29412</v>
      </c>
      <c r="D6">
        <v>1686</v>
      </c>
      <c r="E6"/>
    </row>
    <row r="7" spans="1:15" x14ac:dyDescent="0.25">
      <c r="A7">
        <v>325</v>
      </c>
      <c r="B7" t="s">
        <v>129</v>
      </c>
      <c r="C7">
        <v>42694</v>
      </c>
      <c r="D7">
        <v>3590</v>
      </c>
      <c r="E7"/>
    </row>
    <row r="8" spans="1:15" x14ac:dyDescent="0.25">
      <c r="A8">
        <v>326</v>
      </c>
      <c r="B8" t="s">
        <v>155</v>
      </c>
      <c r="C8">
        <v>116504</v>
      </c>
      <c r="D8">
        <v>8370</v>
      </c>
      <c r="E8"/>
    </row>
    <row r="9" spans="1:15" x14ac:dyDescent="0.25">
      <c r="A9">
        <v>327</v>
      </c>
      <c r="B9" t="s">
        <v>156</v>
      </c>
      <c r="C9">
        <v>356542</v>
      </c>
      <c r="D9">
        <v>22221</v>
      </c>
      <c r="E9"/>
    </row>
    <row r="10" spans="1:15" x14ac:dyDescent="0.25">
      <c r="D10"/>
      <c r="E10"/>
    </row>
    <row r="11" spans="1:15" x14ac:dyDescent="0.25">
      <c r="B11" t="s">
        <v>9</v>
      </c>
      <c r="C11" s="2"/>
      <c r="E11"/>
    </row>
    <row r="12" spans="1:15" x14ac:dyDescent="0.25">
      <c r="B12" t="s">
        <v>9</v>
      </c>
      <c r="C12" s="2"/>
      <c r="E12"/>
    </row>
    <row r="13" spans="1:15" x14ac:dyDescent="0.25">
      <c r="B13" t="s">
        <v>9</v>
      </c>
      <c r="C13" s="2"/>
      <c r="E13"/>
    </row>
    <row r="14" spans="1:15" x14ac:dyDescent="0.25">
      <c r="B14" t="s">
        <v>9</v>
      </c>
      <c r="C14" s="2"/>
      <c r="E14"/>
    </row>
    <row r="15" spans="1:15" x14ac:dyDescent="0.25">
      <c r="B15" t="s">
        <v>9</v>
      </c>
      <c r="C15" s="2"/>
      <c r="E15"/>
    </row>
    <row r="16" spans="1:15" x14ac:dyDescent="0.25">
      <c r="B16" t="s">
        <v>9</v>
      </c>
      <c r="C16" s="2"/>
      <c r="E16"/>
    </row>
    <row r="17" spans="2:5" x14ac:dyDescent="0.25">
      <c r="B17" t="s">
        <v>9</v>
      </c>
      <c r="C17" s="2"/>
      <c r="E17"/>
    </row>
    <row r="18" spans="2:5" x14ac:dyDescent="0.25">
      <c r="B18" t="s">
        <v>9</v>
      </c>
      <c r="C18" s="2"/>
      <c r="E18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5971D-2D22-404C-B8B5-D4F7E4F19C86}">
  <sheetPr codeName="Sheet14"/>
  <dimension ref="A1:M18"/>
  <sheetViews>
    <sheetView tabSelected="1" workbookViewId="0">
      <selection activeCell="E14" sqref="E14"/>
    </sheetView>
  </sheetViews>
  <sheetFormatPr defaultRowHeight="15" x14ac:dyDescent="0.25"/>
  <cols>
    <col min="1" max="1" width="15.28515625" customWidth="1"/>
    <col min="2" max="2" width="40.28515625" bestFit="1" customWidth="1"/>
    <col min="3" max="3" width="25.42578125" customWidth="1"/>
    <col min="4" max="4" width="25.85546875" style="3" customWidth="1"/>
    <col min="5" max="5" width="26" style="3" customWidth="1"/>
    <col min="6" max="6" width="25.42578125" style="3" customWidth="1"/>
    <col min="7" max="7" width="12.42578125" style="3" bestFit="1" customWidth="1"/>
  </cols>
  <sheetData>
    <row r="1" spans="1:13" x14ac:dyDescent="0.25">
      <c r="B1" s="9" t="s">
        <v>69</v>
      </c>
      <c r="C1" s="9"/>
      <c r="D1" s="12"/>
      <c r="E1" s="12"/>
      <c r="G1" s="12"/>
    </row>
    <row r="2" spans="1:13" s="21" customFormat="1" x14ac:dyDescent="0.25">
      <c r="A2" t="s">
        <v>232</v>
      </c>
      <c r="B2" t="s">
        <v>204</v>
      </c>
      <c r="C2" t="s">
        <v>208</v>
      </c>
      <c r="D2" t="s">
        <v>205</v>
      </c>
      <c r="E2" t="s">
        <v>206</v>
      </c>
      <c r="F2" t="s">
        <v>207</v>
      </c>
      <c r="G2" s="20" t="s">
        <v>9</v>
      </c>
      <c r="H2" s="20" t="s">
        <v>9</v>
      </c>
      <c r="I2" s="20" t="s">
        <v>9</v>
      </c>
      <c r="J2" s="20" t="s">
        <v>9</v>
      </c>
      <c r="K2" s="20" t="s">
        <v>9</v>
      </c>
      <c r="L2" s="20" t="s">
        <v>9</v>
      </c>
      <c r="M2" s="20" t="s">
        <v>9</v>
      </c>
    </row>
    <row r="3" spans="1:13" x14ac:dyDescent="0.25">
      <c r="A3">
        <v>241</v>
      </c>
      <c r="B3" t="s">
        <v>157</v>
      </c>
      <c r="C3">
        <v>321618</v>
      </c>
      <c r="D3">
        <v>852738</v>
      </c>
      <c r="E3">
        <v>37944</v>
      </c>
      <c r="F3">
        <v>49282</v>
      </c>
      <c r="G3"/>
    </row>
    <row r="4" spans="1:13" x14ac:dyDescent="0.25">
      <c r="A4">
        <v>242</v>
      </c>
      <c r="B4" t="s">
        <v>158</v>
      </c>
      <c r="C4">
        <v>466625</v>
      </c>
      <c r="D4">
        <v>107769</v>
      </c>
      <c r="E4">
        <v>14745</v>
      </c>
      <c r="F4">
        <v>8826</v>
      </c>
      <c r="G4"/>
    </row>
    <row r="5" spans="1:13" x14ac:dyDescent="0.25">
      <c r="A5">
        <v>243</v>
      </c>
      <c r="B5" t="s">
        <v>159</v>
      </c>
      <c r="C5">
        <v>196562</v>
      </c>
      <c r="D5">
        <v>163245</v>
      </c>
      <c r="E5">
        <v>17734</v>
      </c>
      <c r="F5">
        <v>12455</v>
      </c>
      <c r="G5"/>
    </row>
    <row r="6" spans="1:13" x14ac:dyDescent="0.25">
      <c r="A6">
        <v>244</v>
      </c>
      <c r="B6" t="s">
        <v>209</v>
      </c>
      <c r="C6">
        <v>256160</v>
      </c>
      <c r="D6">
        <v>117213</v>
      </c>
      <c r="E6">
        <v>2658</v>
      </c>
      <c r="F6">
        <v>2518</v>
      </c>
      <c r="G6"/>
    </row>
    <row r="7" spans="1:13" x14ac:dyDescent="0.25">
      <c r="B7" s="9" t="s">
        <v>9</v>
      </c>
      <c r="C7" s="2"/>
      <c r="D7" s="2"/>
      <c r="E7" s="2"/>
      <c r="F7" s="2"/>
      <c r="G7"/>
    </row>
    <row r="8" spans="1:13" x14ac:dyDescent="0.25">
      <c r="B8" s="9" t="s">
        <v>9</v>
      </c>
      <c r="C8" s="2"/>
      <c r="D8" s="2"/>
      <c r="E8" s="2"/>
      <c r="F8" s="2"/>
      <c r="G8"/>
    </row>
    <row r="9" spans="1:13" x14ac:dyDescent="0.25">
      <c r="B9" s="9" t="s">
        <v>9</v>
      </c>
      <c r="C9" s="2"/>
      <c r="D9" s="2"/>
      <c r="E9" s="2"/>
      <c r="F9" s="2"/>
      <c r="G9"/>
    </row>
    <row r="10" spans="1:13" x14ac:dyDescent="0.25">
      <c r="B10" s="9" t="s">
        <v>9</v>
      </c>
      <c r="C10" s="2"/>
      <c r="D10" s="2"/>
      <c r="E10" s="2"/>
      <c r="F10" s="2"/>
      <c r="G10"/>
    </row>
    <row r="11" spans="1:13" x14ac:dyDescent="0.25">
      <c r="B11" s="9" t="s">
        <v>9</v>
      </c>
      <c r="C11" s="2"/>
      <c r="D11" s="2"/>
      <c r="E11" s="2"/>
      <c r="F11" s="2"/>
      <c r="G11"/>
    </row>
    <row r="12" spans="1:13" x14ac:dyDescent="0.25">
      <c r="B12" s="9" t="s">
        <v>9</v>
      </c>
      <c r="C12" s="2"/>
      <c r="D12" s="2"/>
      <c r="E12" s="2"/>
      <c r="F12" s="2"/>
      <c r="G12"/>
    </row>
    <row r="13" spans="1:13" x14ac:dyDescent="0.25">
      <c r="B13" s="9" t="s">
        <v>9</v>
      </c>
      <c r="C13" s="2"/>
      <c r="D13" s="2"/>
      <c r="E13" s="2"/>
      <c r="F13" s="2"/>
      <c r="G13"/>
    </row>
    <row r="14" spans="1:13" x14ac:dyDescent="0.25">
      <c r="B14" s="9" t="s">
        <v>9</v>
      </c>
      <c r="C14" s="2"/>
      <c r="D14" s="2"/>
      <c r="E14" s="2"/>
      <c r="F14" s="2"/>
      <c r="G14"/>
    </row>
    <row r="15" spans="1:13" x14ac:dyDescent="0.25">
      <c r="B15" s="9" t="s">
        <v>9</v>
      </c>
      <c r="C15" s="2"/>
      <c r="D15" s="2"/>
      <c r="E15" s="2"/>
      <c r="F15" s="2"/>
      <c r="G15"/>
    </row>
    <row r="16" spans="1:13" x14ac:dyDescent="0.25">
      <c r="B16" s="9" t="s">
        <v>9</v>
      </c>
      <c r="C16" s="2"/>
      <c r="D16" s="2"/>
      <c r="E16" s="2"/>
      <c r="F16" s="2"/>
      <c r="G16"/>
    </row>
    <row r="17" spans="2:7" x14ac:dyDescent="0.25">
      <c r="B17" s="9" t="s">
        <v>9</v>
      </c>
      <c r="C17" s="2"/>
      <c r="D17" s="2"/>
      <c r="E17" s="2"/>
      <c r="F17" s="2"/>
      <c r="G17"/>
    </row>
    <row r="18" spans="2:7" x14ac:dyDescent="0.25">
      <c r="B18" s="9" t="s">
        <v>9</v>
      </c>
      <c r="C18" s="2"/>
      <c r="D18" s="2"/>
      <c r="E18" s="2"/>
      <c r="F18" s="2"/>
      <c r="G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1E72E-EDFC-416C-AD1D-780676B2772C}">
  <sheetPr codeName="Sheet15"/>
  <dimension ref="A1:L19"/>
  <sheetViews>
    <sheetView workbookViewId="0">
      <selection activeCell="B6" sqref="B6"/>
    </sheetView>
  </sheetViews>
  <sheetFormatPr defaultRowHeight="15" x14ac:dyDescent="0.25"/>
  <cols>
    <col min="1" max="1" width="21.42578125" customWidth="1"/>
    <col min="2" max="2" width="84.7109375" bestFit="1" customWidth="1"/>
    <col min="3" max="4" width="23" customWidth="1"/>
    <col min="5" max="5" width="12.42578125" style="3" customWidth="1"/>
    <col min="6" max="6" width="8.85546875" style="3" bestFit="1" customWidth="1"/>
    <col min="7" max="7" width="8.85546875" style="2" bestFit="1" customWidth="1"/>
    <col min="8" max="8" width="9.140625" style="3"/>
  </cols>
  <sheetData>
    <row r="1" spans="1:12" x14ac:dyDescent="0.25">
      <c r="B1" t="s">
        <v>25</v>
      </c>
    </row>
    <row r="2" spans="1:12" x14ac:dyDescent="0.25">
      <c r="A2" t="s">
        <v>235</v>
      </c>
      <c r="B2" t="s">
        <v>199</v>
      </c>
      <c r="C2" t="s">
        <v>196</v>
      </c>
      <c r="D2" t="s">
        <v>198</v>
      </c>
      <c r="E2" t="s">
        <v>197</v>
      </c>
      <c r="F2" t="s">
        <v>9</v>
      </c>
      <c r="G2" t="s">
        <v>9</v>
      </c>
      <c r="H2" t="s">
        <v>9</v>
      </c>
      <c r="I2" t="s">
        <v>9</v>
      </c>
      <c r="J2" t="s">
        <v>9</v>
      </c>
      <c r="K2" t="s">
        <v>9</v>
      </c>
      <c r="L2" t="s">
        <v>9</v>
      </c>
    </row>
    <row r="3" spans="1:12" x14ac:dyDescent="0.25">
      <c r="A3">
        <v>361</v>
      </c>
      <c r="B3" t="s">
        <v>160</v>
      </c>
      <c r="C3">
        <v>1084076</v>
      </c>
      <c r="D3">
        <v>35793901</v>
      </c>
      <c r="E3">
        <v>35476136</v>
      </c>
      <c r="F3"/>
      <c r="G3"/>
      <c r="H3"/>
    </row>
    <row r="4" spans="1:12" x14ac:dyDescent="0.25">
      <c r="A4">
        <v>362</v>
      </c>
      <c r="B4" t="s">
        <v>161</v>
      </c>
      <c r="C4">
        <v>397699</v>
      </c>
      <c r="D4">
        <v>8614305</v>
      </c>
      <c r="E4">
        <v>7463569</v>
      </c>
      <c r="F4"/>
      <c r="G4"/>
      <c r="H4"/>
    </row>
    <row r="5" spans="1:12" x14ac:dyDescent="0.25">
      <c r="A5">
        <v>363</v>
      </c>
      <c r="B5" t="s">
        <v>162</v>
      </c>
      <c r="C5">
        <v>551817</v>
      </c>
      <c r="D5">
        <v>7654220</v>
      </c>
      <c r="E5">
        <v>8035116</v>
      </c>
      <c r="F5"/>
      <c r="G5"/>
      <c r="H5"/>
    </row>
    <row r="6" spans="1:12" x14ac:dyDescent="0.25">
      <c r="A6">
        <v>364</v>
      </c>
      <c r="B6" t="s">
        <v>267</v>
      </c>
      <c r="C6">
        <v>595184</v>
      </c>
      <c r="D6">
        <v>9803087</v>
      </c>
      <c r="E6">
        <v>7980681</v>
      </c>
      <c r="F6"/>
      <c r="G6"/>
      <c r="H6"/>
    </row>
    <row r="7" spans="1:12" x14ac:dyDescent="0.25">
      <c r="A7">
        <v>365</v>
      </c>
      <c r="B7" t="s">
        <v>265</v>
      </c>
      <c r="C7">
        <v>326811</v>
      </c>
      <c r="D7">
        <v>3379819</v>
      </c>
      <c r="E7">
        <v>2945863</v>
      </c>
      <c r="F7"/>
      <c r="G7"/>
      <c r="H7"/>
    </row>
    <row r="8" spans="1:12" x14ac:dyDescent="0.25">
      <c r="A8">
        <v>366</v>
      </c>
      <c r="B8" t="s">
        <v>163</v>
      </c>
      <c r="C8">
        <v>427112</v>
      </c>
      <c r="D8">
        <v>3021424</v>
      </c>
      <c r="E8">
        <v>3190528</v>
      </c>
      <c r="F8"/>
      <c r="G8"/>
      <c r="H8"/>
    </row>
    <row r="9" spans="1:12" x14ac:dyDescent="0.25">
      <c r="A9">
        <v>367</v>
      </c>
      <c r="B9" t="s">
        <v>164</v>
      </c>
      <c r="C9">
        <v>485648</v>
      </c>
      <c r="D9">
        <v>3227807</v>
      </c>
      <c r="E9">
        <v>4208691</v>
      </c>
      <c r="F9"/>
      <c r="G9"/>
      <c r="H9"/>
    </row>
    <row r="10" spans="1:12" x14ac:dyDescent="0.25">
      <c r="A10">
        <v>368</v>
      </c>
      <c r="B10" t="s">
        <v>47</v>
      </c>
      <c r="C10">
        <v>26098</v>
      </c>
      <c r="D10">
        <v>858406</v>
      </c>
      <c r="E10">
        <v>317804</v>
      </c>
      <c r="F10"/>
      <c r="G10"/>
      <c r="H10"/>
    </row>
    <row r="11" spans="1:12" x14ac:dyDescent="0.25">
      <c r="B11" t="s">
        <v>9</v>
      </c>
      <c r="C11" s="2"/>
      <c r="D11" s="2"/>
      <c r="E11" s="2"/>
      <c r="F11"/>
      <c r="G11"/>
      <c r="H11"/>
    </row>
    <row r="12" spans="1:12" x14ac:dyDescent="0.25">
      <c r="B12" t="s">
        <v>9</v>
      </c>
      <c r="C12" s="2"/>
      <c r="D12" s="2"/>
      <c r="E12" s="2"/>
      <c r="F12"/>
      <c r="G12"/>
      <c r="H12"/>
    </row>
    <row r="13" spans="1:12" x14ac:dyDescent="0.25">
      <c r="B13" t="s">
        <v>9</v>
      </c>
      <c r="C13" s="2"/>
      <c r="D13" s="2"/>
      <c r="E13" s="2"/>
      <c r="F13"/>
      <c r="G13"/>
      <c r="H13"/>
    </row>
    <row r="14" spans="1:12" x14ac:dyDescent="0.25">
      <c r="B14" t="s">
        <v>9</v>
      </c>
      <c r="C14" s="2"/>
      <c r="D14" s="2"/>
      <c r="E14" s="2"/>
      <c r="F14"/>
      <c r="G14"/>
      <c r="H14"/>
    </row>
    <row r="15" spans="1:12" x14ac:dyDescent="0.25">
      <c r="B15" t="s">
        <v>9</v>
      </c>
      <c r="C15" s="2"/>
      <c r="D15" s="2"/>
      <c r="E15" s="2"/>
      <c r="F15"/>
      <c r="G15"/>
      <c r="H15"/>
    </row>
    <row r="16" spans="1:12" x14ac:dyDescent="0.25">
      <c r="B16" t="s">
        <v>9</v>
      </c>
      <c r="C16" s="2"/>
      <c r="D16" s="2"/>
      <c r="E16" s="2"/>
      <c r="F16"/>
      <c r="G16"/>
      <c r="H16"/>
    </row>
    <row r="17" spans="2:8" x14ac:dyDescent="0.25">
      <c r="B17" t="s">
        <v>9</v>
      </c>
      <c r="C17" s="2"/>
      <c r="D17" s="2"/>
      <c r="E17" s="2"/>
      <c r="F17"/>
      <c r="G17"/>
      <c r="H17"/>
    </row>
    <row r="18" spans="2:8" x14ac:dyDescent="0.25">
      <c r="B18" t="s">
        <v>9</v>
      </c>
      <c r="C18" s="2"/>
      <c r="D18" s="2"/>
      <c r="E18" s="2"/>
      <c r="F18"/>
      <c r="G18"/>
      <c r="H18"/>
    </row>
    <row r="19" spans="2:8" x14ac:dyDescent="0.25">
      <c r="B19" t="s">
        <v>9</v>
      </c>
      <c r="D19" s="2"/>
      <c r="E19" s="2"/>
      <c r="F19" s="2"/>
      <c r="G19" s="3"/>
      <c r="H19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94A1E-70D9-48BD-84A8-2018318BE15A}">
  <sheetPr codeName="Sheet16"/>
  <dimension ref="A1:O18"/>
  <sheetViews>
    <sheetView workbookViewId="0">
      <selection activeCell="C13" sqref="C13"/>
    </sheetView>
  </sheetViews>
  <sheetFormatPr defaultRowHeight="15" x14ac:dyDescent="0.25"/>
  <cols>
    <col min="1" max="1" width="19.28515625" customWidth="1"/>
    <col min="2" max="2" width="24.7109375" customWidth="1"/>
    <col min="3" max="3" width="49" bestFit="1" customWidth="1"/>
    <col min="4" max="4" width="23" customWidth="1"/>
    <col min="5" max="5" width="22.42578125" style="2" customWidth="1"/>
    <col min="6" max="6" width="12.42578125" style="2" customWidth="1"/>
    <col min="7" max="7" width="7.85546875" style="2" bestFit="1" customWidth="1"/>
    <col min="8" max="8" width="7.85546875" style="3" bestFit="1" customWidth="1"/>
  </cols>
  <sheetData>
    <row r="1" spans="1:15" x14ac:dyDescent="0.25">
      <c r="C1" t="s">
        <v>26</v>
      </c>
    </row>
    <row r="2" spans="1:15" x14ac:dyDescent="0.25">
      <c r="A2" t="s">
        <v>241</v>
      </c>
      <c r="B2" t="s">
        <v>251</v>
      </c>
      <c r="C2" t="s">
        <v>71</v>
      </c>
      <c r="D2" t="s">
        <v>196</v>
      </c>
      <c r="E2" t="s">
        <v>195</v>
      </c>
      <c r="F2" t="s">
        <v>197</v>
      </c>
      <c r="G2" t="s">
        <v>9</v>
      </c>
      <c r="H2" t="s">
        <v>9</v>
      </c>
      <c r="I2" t="s">
        <v>9</v>
      </c>
      <c r="J2" t="s">
        <v>9</v>
      </c>
      <c r="K2" t="s">
        <v>9</v>
      </c>
      <c r="L2" t="s">
        <v>9</v>
      </c>
      <c r="M2" t="s">
        <v>9</v>
      </c>
      <c r="N2" t="s">
        <v>9</v>
      </c>
      <c r="O2" t="s">
        <v>9</v>
      </c>
    </row>
    <row r="3" spans="1:15" x14ac:dyDescent="0.25">
      <c r="A3">
        <v>601</v>
      </c>
      <c r="B3">
        <v>561</v>
      </c>
      <c r="C3" t="s">
        <v>165</v>
      </c>
      <c r="D3">
        <v>279928</v>
      </c>
      <c r="E3">
        <v>3464056</v>
      </c>
      <c r="F3">
        <v>5518799</v>
      </c>
      <c r="G3"/>
      <c r="H3"/>
    </row>
    <row r="4" spans="1:15" x14ac:dyDescent="0.25">
      <c r="A4">
        <v>602</v>
      </c>
      <c r="B4">
        <v>562</v>
      </c>
      <c r="C4" t="s">
        <v>143</v>
      </c>
      <c r="D4">
        <v>336585</v>
      </c>
      <c r="E4">
        <v>1731465</v>
      </c>
      <c r="F4">
        <v>2035907</v>
      </c>
      <c r="G4"/>
      <c r="H4"/>
    </row>
    <row r="5" spans="1:15" x14ac:dyDescent="0.25">
      <c r="A5">
        <v>603</v>
      </c>
      <c r="B5">
        <v>563</v>
      </c>
      <c r="C5" t="s">
        <v>166</v>
      </c>
      <c r="D5">
        <v>214812</v>
      </c>
      <c r="E5">
        <v>582286</v>
      </c>
      <c r="F5">
        <v>1035180</v>
      </c>
      <c r="G5"/>
      <c r="H5"/>
    </row>
    <row r="6" spans="1:15" x14ac:dyDescent="0.25">
      <c r="A6">
        <v>604</v>
      </c>
      <c r="B6">
        <v>564</v>
      </c>
      <c r="C6" t="s">
        <v>144</v>
      </c>
      <c r="D6">
        <v>408005</v>
      </c>
      <c r="E6">
        <v>2719382</v>
      </c>
      <c r="F6">
        <v>5491700</v>
      </c>
      <c r="G6"/>
      <c r="H6"/>
    </row>
    <row r="7" spans="1:15" x14ac:dyDescent="0.25">
      <c r="A7">
        <v>605</v>
      </c>
      <c r="B7">
        <v>565</v>
      </c>
      <c r="C7" t="s">
        <v>266</v>
      </c>
      <c r="D7">
        <v>266546</v>
      </c>
      <c r="E7">
        <v>261595</v>
      </c>
      <c r="F7">
        <v>983577</v>
      </c>
      <c r="G7"/>
      <c r="H7"/>
    </row>
    <row r="8" spans="1:15" x14ac:dyDescent="0.25">
      <c r="A8">
        <v>606</v>
      </c>
      <c r="B8">
        <v>566</v>
      </c>
      <c r="C8" t="s">
        <v>167</v>
      </c>
      <c r="D8">
        <v>9398</v>
      </c>
      <c r="E8"/>
      <c r="F8">
        <v>41924</v>
      </c>
      <c r="G8"/>
      <c r="H8"/>
    </row>
    <row r="9" spans="1:15" x14ac:dyDescent="0.25">
      <c r="C9" t="s">
        <v>9</v>
      </c>
      <c r="D9" s="2"/>
      <c r="G9"/>
      <c r="H9"/>
    </row>
    <row r="10" spans="1:15" x14ac:dyDescent="0.25">
      <c r="C10" t="s">
        <v>73</v>
      </c>
      <c r="D10" s="2">
        <v>252545.66666666666</v>
      </c>
      <c r="E10" s="2">
        <v>1751756.8</v>
      </c>
      <c r="F10" s="2">
        <v>2517847.8333333335</v>
      </c>
      <c r="G10"/>
      <c r="H10"/>
    </row>
    <row r="11" spans="1:15" x14ac:dyDescent="0.25">
      <c r="C11" t="s">
        <v>9</v>
      </c>
      <c r="D11" s="2"/>
      <c r="G11"/>
      <c r="H11"/>
    </row>
    <row r="12" spans="1:15" x14ac:dyDescent="0.25">
      <c r="C12" t="s">
        <v>9</v>
      </c>
      <c r="D12" s="2"/>
      <c r="G12"/>
      <c r="H12"/>
    </row>
    <row r="13" spans="1:15" x14ac:dyDescent="0.25">
      <c r="D13" s="2"/>
      <c r="G13"/>
      <c r="H13"/>
    </row>
    <row r="14" spans="1:15" x14ac:dyDescent="0.25">
      <c r="C14" t="s">
        <v>9</v>
      </c>
      <c r="D14" s="2"/>
      <c r="G14"/>
      <c r="H14"/>
    </row>
    <row r="15" spans="1:15" x14ac:dyDescent="0.25">
      <c r="C15" t="s">
        <v>9</v>
      </c>
      <c r="D15" s="2"/>
      <c r="G15"/>
      <c r="H15"/>
    </row>
    <row r="16" spans="1:15" x14ac:dyDescent="0.25">
      <c r="C16" t="s">
        <v>9</v>
      </c>
      <c r="D16" s="2"/>
      <c r="G16"/>
      <c r="H16"/>
    </row>
    <row r="17" spans="3:8" x14ac:dyDescent="0.25">
      <c r="C17" t="s">
        <v>9</v>
      </c>
      <c r="D17" s="2"/>
      <c r="G17"/>
      <c r="H17"/>
    </row>
    <row r="18" spans="3:8" x14ac:dyDescent="0.25">
      <c r="C18" t="s">
        <v>9</v>
      </c>
      <c r="E18" s="3"/>
      <c r="F18" s="3"/>
      <c r="G18" s="3"/>
      <c r="H18"/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8795D-ED44-46B3-8E80-15CB69FA2A12}">
  <sheetPr codeName="Sheet17"/>
  <dimension ref="A1:T41"/>
  <sheetViews>
    <sheetView topLeftCell="A15" workbookViewId="0">
      <selection activeCell="B25" sqref="A3:F39"/>
    </sheetView>
  </sheetViews>
  <sheetFormatPr defaultRowHeight="15" x14ac:dyDescent="0.25"/>
  <cols>
    <col min="1" max="1" width="24.7109375" customWidth="1"/>
    <col min="2" max="2" width="46.42578125" bestFit="1" customWidth="1"/>
    <col min="3" max="3" width="10.140625" customWidth="1"/>
    <col min="4" max="4" width="10.85546875" customWidth="1"/>
    <col min="5" max="5" width="13.140625" bestFit="1" customWidth="1"/>
    <col min="6" max="6" width="15.42578125" customWidth="1"/>
    <col min="7" max="7" width="7" bestFit="1" customWidth="1"/>
    <col min="8" max="8" width="8" style="2" bestFit="1" customWidth="1"/>
  </cols>
  <sheetData>
    <row r="1" spans="1:20" x14ac:dyDescent="0.25">
      <c r="B1" t="s">
        <v>250</v>
      </c>
    </row>
    <row r="2" spans="1:20" x14ac:dyDescent="0.25">
      <c r="A2" t="s">
        <v>251</v>
      </c>
      <c r="B2" t="s">
        <v>71</v>
      </c>
      <c r="C2" t="s">
        <v>220</v>
      </c>
      <c r="D2" t="s">
        <v>222</v>
      </c>
      <c r="E2" t="s">
        <v>223</v>
      </c>
      <c r="F2" t="s">
        <v>248</v>
      </c>
      <c r="G2" t="s">
        <v>9</v>
      </c>
      <c r="H2" t="s">
        <v>9</v>
      </c>
      <c r="I2" t="s">
        <v>9</v>
      </c>
      <c r="J2" t="s">
        <v>9</v>
      </c>
      <c r="K2" t="s">
        <v>9</v>
      </c>
      <c r="L2" t="s">
        <v>9</v>
      </c>
      <c r="M2" t="s">
        <v>9</v>
      </c>
      <c r="N2" t="s">
        <v>9</v>
      </c>
      <c r="O2" t="s">
        <v>9</v>
      </c>
      <c r="P2" t="s">
        <v>9</v>
      </c>
      <c r="Q2" t="s">
        <v>9</v>
      </c>
      <c r="R2" t="s">
        <v>9</v>
      </c>
      <c r="S2" t="s">
        <v>9</v>
      </c>
      <c r="T2" t="s">
        <v>9</v>
      </c>
    </row>
    <row r="3" spans="1:20" x14ac:dyDescent="0.25">
      <c r="A3">
        <v>561</v>
      </c>
      <c r="B3" t="s">
        <v>86</v>
      </c>
      <c r="C3" t="s">
        <v>221</v>
      </c>
      <c r="D3">
        <v>440001</v>
      </c>
      <c r="E3" t="s">
        <v>226</v>
      </c>
      <c r="F3">
        <v>69128</v>
      </c>
      <c r="H3"/>
    </row>
    <row r="4" spans="1:20" x14ac:dyDescent="0.25">
      <c r="A4">
        <v>562</v>
      </c>
      <c r="B4" t="s">
        <v>87</v>
      </c>
      <c r="C4" t="s">
        <v>221</v>
      </c>
      <c r="D4">
        <v>640001</v>
      </c>
      <c r="E4" t="s">
        <v>224</v>
      </c>
      <c r="F4">
        <v>137439</v>
      </c>
      <c r="H4"/>
    </row>
    <row r="5" spans="1:20" x14ac:dyDescent="0.25">
      <c r="A5">
        <v>563</v>
      </c>
      <c r="B5" t="s">
        <v>88</v>
      </c>
      <c r="C5" t="s">
        <v>221</v>
      </c>
      <c r="D5">
        <v>520001</v>
      </c>
      <c r="E5" t="s">
        <v>227</v>
      </c>
      <c r="F5">
        <v>181164</v>
      </c>
      <c r="H5"/>
    </row>
    <row r="6" spans="1:20" x14ac:dyDescent="0.25">
      <c r="A6">
        <v>564</v>
      </c>
      <c r="B6" t="s">
        <v>89</v>
      </c>
      <c r="C6" t="s">
        <v>221</v>
      </c>
      <c r="D6">
        <v>420001</v>
      </c>
      <c r="E6" t="s">
        <v>226</v>
      </c>
      <c r="F6">
        <v>47980</v>
      </c>
      <c r="H6"/>
    </row>
    <row r="7" spans="1:20" x14ac:dyDescent="0.25">
      <c r="A7">
        <v>565</v>
      </c>
      <c r="B7" t="s">
        <v>90</v>
      </c>
      <c r="C7" t="s">
        <v>221</v>
      </c>
      <c r="D7">
        <v>740001</v>
      </c>
      <c r="E7" t="s">
        <v>224</v>
      </c>
      <c r="F7">
        <v>229523</v>
      </c>
      <c r="H7"/>
    </row>
    <row r="8" spans="1:20" x14ac:dyDescent="0.25">
      <c r="A8">
        <v>566</v>
      </c>
      <c r="B8" t="s">
        <v>91</v>
      </c>
      <c r="C8" t="s">
        <v>221</v>
      </c>
      <c r="D8">
        <v>561001</v>
      </c>
      <c r="E8" t="s">
        <v>227</v>
      </c>
      <c r="F8">
        <v>89517</v>
      </c>
      <c r="H8"/>
    </row>
    <row r="9" spans="1:20" x14ac:dyDescent="0.25">
      <c r="A9">
        <v>567</v>
      </c>
      <c r="B9" t="s">
        <v>92</v>
      </c>
      <c r="C9" t="s">
        <v>221</v>
      </c>
      <c r="D9">
        <v>970001</v>
      </c>
      <c r="E9" t="s">
        <v>229</v>
      </c>
      <c r="F9">
        <v>125724</v>
      </c>
      <c r="H9"/>
    </row>
    <row r="10" spans="1:20" x14ac:dyDescent="0.25">
      <c r="A10">
        <v>568</v>
      </c>
      <c r="B10" t="s">
        <v>93</v>
      </c>
      <c r="C10" t="s">
        <v>221</v>
      </c>
      <c r="D10">
        <v>600001</v>
      </c>
      <c r="E10" t="s">
        <v>224</v>
      </c>
      <c r="F10">
        <v>137439</v>
      </c>
      <c r="H10"/>
    </row>
    <row r="11" spans="1:20" x14ac:dyDescent="0.25">
      <c r="A11">
        <v>569</v>
      </c>
      <c r="B11" t="s">
        <v>94</v>
      </c>
      <c r="C11" t="s">
        <v>221</v>
      </c>
      <c r="D11">
        <v>540001</v>
      </c>
      <c r="E11" t="s">
        <v>227</v>
      </c>
      <c r="F11">
        <v>150770</v>
      </c>
      <c r="H11"/>
    </row>
    <row r="12" spans="1:20" x14ac:dyDescent="0.25">
      <c r="A12">
        <v>570</v>
      </c>
      <c r="B12" t="s">
        <v>95</v>
      </c>
      <c r="C12" t="s">
        <v>221</v>
      </c>
      <c r="D12">
        <v>320001</v>
      </c>
      <c r="E12" t="s">
        <v>227</v>
      </c>
      <c r="F12">
        <v>253550</v>
      </c>
      <c r="H12"/>
    </row>
    <row r="13" spans="1:20" x14ac:dyDescent="0.25">
      <c r="A13">
        <v>571</v>
      </c>
      <c r="B13" t="s">
        <v>96</v>
      </c>
      <c r="C13" t="s">
        <v>221</v>
      </c>
      <c r="D13">
        <v>840001</v>
      </c>
      <c r="E13" t="s">
        <v>226</v>
      </c>
      <c r="F13">
        <v>145078</v>
      </c>
      <c r="H13"/>
    </row>
    <row r="14" spans="1:20" x14ac:dyDescent="0.25">
      <c r="A14">
        <v>572</v>
      </c>
      <c r="B14" t="s">
        <v>97</v>
      </c>
      <c r="C14" t="s">
        <v>221</v>
      </c>
      <c r="D14">
        <v>300001</v>
      </c>
      <c r="E14" t="s">
        <v>227</v>
      </c>
      <c r="F14">
        <v>72124</v>
      </c>
      <c r="H14"/>
    </row>
    <row r="15" spans="1:20" x14ac:dyDescent="0.25">
      <c r="A15">
        <v>573</v>
      </c>
      <c r="B15" t="s">
        <v>98</v>
      </c>
      <c r="C15" t="s">
        <v>221</v>
      </c>
      <c r="D15">
        <v>360001</v>
      </c>
      <c r="E15" t="s">
        <v>228</v>
      </c>
      <c r="F15">
        <v>52687</v>
      </c>
      <c r="H15"/>
    </row>
    <row r="16" spans="1:20" x14ac:dyDescent="0.25">
      <c r="A16">
        <v>574</v>
      </c>
      <c r="B16" t="s">
        <v>99</v>
      </c>
      <c r="C16" t="s">
        <v>221</v>
      </c>
      <c r="D16">
        <v>400001</v>
      </c>
      <c r="E16" t="s">
        <v>226</v>
      </c>
      <c r="F16">
        <v>16587</v>
      </c>
      <c r="H16"/>
    </row>
    <row r="17" spans="1:8" x14ac:dyDescent="0.25">
      <c r="A17">
        <v>575</v>
      </c>
      <c r="B17" t="s">
        <v>100</v>
      </c>
      <c r="C17" t="s">
        <v>221</v>
      </c>
      <c r="D17">
        <v>760001</v>
      </c>
      <c r="E17" t="s">
        <v>224</v>
      </c>
      <c r="F17">
        <v>200329</v>
      </c>
      <c r="H17"/>
    </row>
    <row r="18" spans="1:8" x14ac:dyDescent="0.25">
      <c r="A18">
        <v>576</v>
      </c>
      <c r="B18" t="s">
        <v>101</v>
      </c>
      <c r="C18" t="s">
        <v>221</v>
      </c>
      <c r="D18">
        <v>460001</v>
      </c>
      <c r="E18" t="s">
        <v>226</v>
      </c>
      <c r="F18">
        <v>4660</v>
      </c>
      <c r="H18"/>
    </row>
    <row r="19" spans="1:8" x14ac:dyDescent="0.25">
      <c r="A19">
        <v>577</v>
      </c>
      <c r="B19" t="s">
        <v>102</v>
      </c>
      <c r="C19" t="s">
        <v>221</v>
      </c>
      <c r="D19">
        <v>720001</v>
      </c>
      <c r="E19" t="s">
        <v>225</v>
      </c>
      <c r="F19">
        <v>209477</v>
      </c>
      <c r="H19"/>
    </row>
    <row r="20" spans="1:8" x14ac:dyDescent="0.25">
      <c r="A20">
        <v>578</v>
      </c>
      <c r="B20" t="s">
        <v>103</v>
      </c>
      <c r="C20" t="s">
        <v>221</v>
      </c>
      <c r="D20">
        <v>800001</v>
      </c>
      <c r="E20" t="s">
        <v>225</v>
      </c>
      <c r="F20">
        <v>217092</v>
      </c>
      <c r="H20"/>
    </row>
    <row r="21" spans="1:8" x14ac:dyDescent="0.25">
      <c r="A21">
        <v>579</v>
      </c>
      <c r="B21" t="s">
        <v>104</v>
      </c>
      <c r="C21" t="s">
        <v>221</v>
      </c>
      <c r="D21">
        <v>700001</v>
      </c>
      <c r="E21" t="s">
        <v>225</v>
      </c>
      <c r="F21">
        <v>612725</v>
      </c>
      <c r="H21"/>
    </row>
    <row r="22" spans="1:8" x14ac:dyDescent="0.25">
      <c r="A22">
        <v>580</v>
      </c>
      <c r="B22" t="s">
        <v>105</v>
      </c>
      <c r="C22" t="s">
        <v>221</v>
      </c>
      <c r="D22">
        <v>820001</v>
      </c>
      <c r="E22" t="s">
        <v>225</v>
      </c>
      <c r="F22">
        <v>670939</v>
      </c>
    </row>
    <row r="23" spans="1:8" x14ac:dyDescent="0.25">
      <c r="A23">
        <v>581</v>
      </c>
      <c r="B23" t="s">
        <v>106</v>
      </c>
      <c r="C23" t="s">
        <v>221</v>
      </c>
      <c r="D23">
        <v>860001</v>
      </c>
      <c r="E23" t="s">
        <v>225</v>
      </c>
      <c r="F23">
        <v>322551</v>
      </c>
    </row>
    <row r="24" spans="1:8" x14ac:dyDescent="0.25">
      <c r="A24">
        <v>582</v>
      </c>
      <c r="B24" t="s">
        <v>107</v>
      </c>
      <c r="C24" t="s">
        <v>221</v>
      </c>
      <c r="D24">
        <v>260001</v>
      </c>
      <c r="E24" t="s">
        <v>229</v>
      </c>
      <c r="F24">
        <v>41690</v>
      </c>
    </row>
    <row r="25" spans="1:8" x14ac:dyDescent="0.25">
      <c r="A25">
        <v>583</v>
      </c>
      <c r="B25" t="s">
        <v>108</v>
      </c>
      <c r="C25" t="s">
        <v>221</v>
      </c>
      <c r="D25">
        <v>240001</v>
      </c>
      <c r="E25" t="s">
        <v>229</v>
      </c>
      <c r="F25">
        <v>95125</v>
      </c>
    </row>
    <row r="26" spans="1:8" x14ac:dyDescent="0.25">
      <c r="A26">
        <v>584</v>
      </c>
      <c r="B26" t="s">
        <v>109</v>
      </c>
      <c r="C26" t="s">
        <v>221</v>
      </c>
      <c r="D26">
        <v>100001</v>
      </c>
      <c r="E26" t="s">
        <v>228</v>
      </c>
      <c r="F26">
        <v>273128</v>
      </c>
    </row>
    <row r="27" spans="1:8" x14ac:dyDescent="0.25">
      <c r="A27">
        <v>585</v>
      </c>
      <c r="B27" t="s">
        <v>110</v>
      </c>
      <c r="C27" t="s">
        <v>221</v>
      </c>
      <c r="D27">
        <v>962001</v>
      </c>
      <c r="E27" t="s">
        <v>229</v>
      </c>
      <c r="F27">
        <v>28961</v>
      </c>
    </row>
    <row r="28" spans="1:8" x14ac:dyDescent="0.25">
      <c r="A28">
        <v>586</v>
      </c>
      <c r="B28" t="s">
        <v>111</v>
      </c>
      <c r="C28" t="s">
        <v>221</v>
      </c>
      <c r="D28">
        <v>920001</v>
      </c>
      <c r="E28" t="s">
        <v>229</v>
      </c>
      <c r="F28">
        <v>229413</v>
      </c>
    </row>
    <row r="29" spans="1:8" x14ac:dyDescent="0.25">
      <c r="A29">
        <v>587</v>
      </c>
      <c r="B29" t="s">
        <v>112</v>
      </c>
      <c r="C29" t="s">
        <v>221</v>
      </c>
      <c r="D29">
        <v>110001</v>
      </c>
      <c r="E29" t="s">
        <v>228</v>
      </c>
      <c r="F29">
        <v>99482</v>
      </c>
    </row>
    <row r="30" spans="1:8" x14ac:dyDescent="0.25">
      <c r="A30">
        <v>588</v>
      </c>
      <c r="B30" t="s">
        <v>113</v>
      </c>
      <c r="C30" t="s">
        <v>221</v>
      </c>
      <c r="D30">
        <v>340001</v>
      </c>
      <c r="E30" t="s">
        <v>228</v>
      </c>
      <c r="F30">
        <v>140609</v>
      </c>
    </row>
    <row r="31" spans="1:8" x14ac:dyDescent="0.25">
      <c r="A31">
        <v>589</v>
      </c>
      <c r="B31" t="s">
        <v>114</v>
      </c>
      <c r="C31" t="s">
        <v>221</v>
      </c>
      <c r="D31">
        <v>230001</v>
      </c>
      <c r="E31" t="s">
        <v>228</v>
      </c>
      <c r="F31">
        <v>134268</v>
      </c>
    </row>
    <row r="32" spans="1:8" x14ac:dyDescent="0.25">
      <c r="A32">
        <v>590</v>
      </c>
      <c r="B32" t="s">
        <v>115</v>
      </c>
      <c r="C32" t="s">
        <v>221</v>
      </c>
      <c r="D32">
        <v>200001</v>
      </c>
      <c r="E32" t="s">
        <v>228</v>
      </c>
      <c r="F32">
        <v>129160</v>
      </c>
    </row>
    <row r="33" spans="1:6" x14ac:dyDescent="0.25">
      <c r="A33">
        <v>591</v>
      </c>
      <c r="B33" t="s">
        <v>116</v>
      </c>
      <c r="C33" t="s">
        <v>221</v>
      </c>
      <c r="D33">
        <v>930001</v>
      </c>
      <c r="E33" t="s">
        <v>229</v>
      </c>
      <c r="F33">
        <v>102347</v>
      </c>
    </row>
    <row r="34" spans="1:6" x14ac:dyDescent="0.25">
      <c r="A34">
        <v>592</v>
      </c>
      <c r="B34" t="s">
        <v>168</v>
      </c>
      <c r="C34" t="s">
        <v>221</v>
      </c>
      <c r="D34">
        <v>500001</v>
      </c>
      <c r="E34" t="s">
        <v>227</v>
      </c>
      <c r="F34">
        <v>228844</v>
      </c>
    </row>
    <row r="35" spans="1:6" x14ac:dyDescent="0.25">
      <c r="A35">
        <v>593</v>
      </c>
      <c r="B35" t="s">
        <v>118</v>
      </c>
      <c r="C35" t="s">
        <v>221</v>
      </c>
      <c r="D35">
        <v>840001</v>
      </c>
      <c r="E35" t="s">
        <v>225</v>
      </c>
      <c r="F35">
        <v>267199</v>
      </c>
    </row>
    <row r="36" spans="1:6" x14ac:dyDescent="0.25">
      <c r="A36">
        <v>594</v>
      </c>
      <c r="B36" t="s">
        <v>119</v>
      </c>
      <c r="C36" t="s">
        <v>221</v>
      </c>
      <c r="D36">
        <v>660001</v>
      </c>
      <c r="E36" t="s">
        <v>224</v>
      </c>
      <c r="F36">
        <v>15779</v>
      </c>
    </row>
    <row r="37" spans="1:6" x14ac:dyDescent="0.25">
      <c r="A37">
        <v>595</v>
      </c>
      <c r="B37" t="s">
        <v>120</v>
      </c>
      <c r="C37" t="s">
        <v>221</v>
      </c>
      <c r="D37">
        <v>620001</v>
      </c>
      <c r="E37" t="s">
        <v>224</v>
      </c>
      <c r="F37">
        <v>137439</v>
      </c>
    </row>
    <row r="38" spans="1:6" x14ac:dyDescent="0.25">
      <c r="A38">
        <v>596</v>
      </c>
      <c r="B38" t="s">
        <v>121</v>
      </c>
      <c r="C38" t="s">
        <v>221</v>
      </c>
      <c r="D38">
        <v>880001</v>
      </c>
      <c r="E38" t="s">
        <v>225</v>
      </c>
      <c r="F38">
        <v>247568</v>
      </c>
    </row>
    <row r="39" spans="1:6" x14ac:dyDescent="0.25">
      <c r="A39">
        <v>597</v>
      </c>
      <c r="B39" t="s">
        <v>1</v>
      </c>
      <c r="C39" t="s">
        <v>221</v>
      </c>
      <c r="D39">
        <v>900001</v>
      </c>
      <c r="E39" t="s">
        <v>229</v>
      </c>
      <c r="F39">
        <v>131768</v>
      </c>
    </row>
    <row r="41" spans="1:6" x14ac:dyDescent="0.25">
      <c r="E41" t="s">
        <v>249</v>
      </c>
      <c r="F41">
        <v>137438.5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5A7AA-1888-41B4-BCBE-4A8CD1D62419}">
  <sheetPr codeName="Sheet18"/>
  <dimension ref="A1:Q16"/>
  <sheetViews>
    <sheetView workbookViewId="0">
      <selection activeCell="B13" sqref="B13"/>
    </sheetView>
  </sheetViews>
  <sheetFormatPr defaultRowHeight="15" x14ac:dyDescent="0.25"/>
  <cols>
    <col min="1" max="1" width="18.7109375" customWidth="1"/>
    <col min="2" max="2" width="45.42578125" bestFit="1" customWidth="1"/>
    <col min="3" max="3" width="22" customWidth="1"/>
    <col min="4" max="4" width="22" style="2" customWidth="1"/>
    <col min="5" max="6" width="11.42578125" style="2" customWidth="1"/>
    <col min="7" max="7" width="11.42578125" style="2" bestFit="1" customWidth="1"/>
  </cols>
  <sheetData>
    <row r="1" spans="1:17" x14ac:dyDescent="0.25">
      <c r="B1" t="s">
        <v>30</v>
      </c>
    </row>
    <row r="2" spans="1:17" x14ac:dyDescent="0.25">
      <c r="A2" t="s">
        <v>247</v>
      </c>
      <c r="B2" t="s">
        <v>192</v>
      </c>
      <c r="C2" t="s">
        <v>202</v>
      </c>
      <c r="D2" t="s">
        <v>203</v>
      </c>
      <c r="E2" t="s">
        <v>48</v>
      </c>
      <c r="F2" t="s">
        <v>169</v>
      </c>
      <c r="G2" t="s">
        <v>9</v>
      </c>
      <c r="H2" t="s">
        <v>9</v>
      </c>
      <c r="I2" t="s">
        <v>9</v>
      </c>
      <c r="J2" t="s">
        <v>9</v>
      </c>
      <c r="K2" t="s">
        <v>9</v>
      </c>
      <c r="L2" t="s">
        <v>9</v>
      </c>
      <c r="M2" t="s">
        <v>9</v>
      </c>
      <c r="N2" t="s">
        <v>9</v>
      </c>
      <c r="O2" t="s">
        <v>9</v>
      </c>
      <c r="P2" t="s">
        <v>9</v>
      </c>
      <c r="Q2" t="s">
        <v>9</v>
      </c>
    </row>
    <row r="3" spans="1:17" x14ac:dyDescent="0.25">
      <c r="A3">
        <v>761</v>
      </c>
      <c r="B3" t="s">
        <v>31</v>
      </c>
      <c r="C3">
        <v>24656347</v>
      </c>
      <c r="D3">
        <v>24965245</v>
      </c>
      <c r="E3">
        <v>4759182</v>
      </c>
      <c r="F3">
        <v>25210736</v>
      </c>
      <c r="G3"/>
    </row>
    <row r="4" spans="1:17" x14ac:dyDescent="0.25">
      <c r="A4">
        <v>762</v>
      </c>
      <c r="B4" t="s">
        <v>32</v>
      </c>
      <c r="C4">
        <v>3412223</v>
      </c>
      <c r="D4">
        <v>4556715</v>
      </c>
      <c r="E4">
        <v>7193413</v>
      </c>
      <c r="F4">
        <v>8158255</v>
      </c>
      <c r="G4"/>
    </row>
    <row r="5" spans="1:17" x14ac:dyDescent="0.25">
      <c r="A5">
        <v>763</v>
      </c>
      <c r="B5" t="s">
        <v>33</v>
      </c>
      <c r="C5">
        <v>1749237</v>
      </c>
      <c r="D5">
        <v>2129017</v>
      </c>
      <c r="E5">
        <v>2919171</v>
      </c>
      <c r="F5">
        <v>3117392</v>
      </c>
      <c r="G5"/>
    </row>
    <row r="6" spans="1:17" x14ac:dyDescent="0.25">
      <c r="A6">
        <v>764</v>
      </c>
      <c r="B6" t="s">
        <v>34</v>
      </c>
      <c r="C6">
        <v>598229</v>
      </c>
      <c r="D6">
        <v>804493</v>
      </c>
      <c r="E6">
        <v>1200657</v>
      </c>
      <c r="F6">
        <v>1224748</v>
      </c>
      <c r="G6"/>
    </row>
    <row r="7" spans="1:17" x14ac:dyDescent="0.25">
      <c r="A7">
        <v>765</v>
      </c>
      <c r="B7" t="s">
        <v>191</v>
      </c>
      <c r="C7">
        <v>245536</v>
      </c>
      <c r="D7">
        <v>364912</v>
      </c>
      <c r="E7">
        <v>501611</v>
      </c>
      <c r="F7">
        <v>455722</v>
      </c>
      <c r="G7"/>
    </row>
    <row r="8" spans="1:17" x14ac:dyDescent="0.25">
      <c r="A8">
        <v>766</v>
      </c>
      <c r="B8" t="s">
        <v>35</v>
      </c>
      <c r="C8">
        <v>126517</v>
      </c>
      <c r="D8">
        <v>162059</v>
      </c>
      <c r="E8">
        <v>561797</v>
      </c>
      <c r="F8">
        <v>562191</v>
      </c>
      <c r="G8"/>
    </row>
    <row r="9" spans="1:17" x14ac:dyDescent="0.25">
      <c r="A9">
        <v>767</v>
      </c>
      <c r="B9" t="s">
        <v>36</v>
      </c>
      <c r="C9">
        <v>83124</v>
      </c>
      <c r="D9">
        <v>91289</v>
      </c>
      <c r="E9">
        <v>265848</v>
      </c>
      <c r="F9">
        <v>124270</v>
      </c>
      <c r="G9"/>
    </row>
    <row r="10" spans="1:17" x14ac:dyDescent="0.25">
      <c r="A10">
        <v>768</v>
      </c>
      <c r="B10" t="s">
        <v>37</v>
      </c>
      <c r="C10">
        <v>33560</v>
      </c>
      <c r="D10">
        <v>68965</v>
      </c>
      <c r="E10">
        <v>98045</v>
      </c>
      <c r="F10">
        <v>127931</v>
      </c>
      <c r="G10"/>
    </row>
    <row r="11" spans="1:17" x14ac:dyDescent="0.25">
      <c r="A11">
        <v>769</v>
      </c>
      <c r="B11" t="s">
        <v>38</v>
      </c>
      <c r="C11">
        <v>83938</v>
      </c>
      <c r="D11">
        <v>91741</v>
      </c>
      <c r="E11">
        <v>111900</v>
      </c>
      <c r="F11">
        <v>109023</v>
      </c>
      <c r="G11"/>
    </row>
    <row r="12" spans="1:17" x14ac:dyDescent="0.25">
      <c r="A12">
        <v>770</v>
      </c>
      <c r="B12" t="s">
        <v>39</v>
      </c>
      <c r="C12">
        <v>48556</v>
      </c>
      <c r="D12">
        <v>63779</v>
      </c>
      <c r="E12">
        <v>107176</v>
      </c>
      <c r="F12">
        <v>44409</v>
      </c>
      <c r="G12"/>
    </row>
    <row r="13" spans="1:17" x14ac:dyDescent="0.25">
      <c r="A13">
        <v>771</v>
      </c>
      <c r="B13" t="s">
        <v>40</v>
      </c>
      <c r="C13">
        <v>70022</v>
      </c>
      <c r="D13">
        <v>78678</v>
      </c>
      <c r="E13">
        <v>150378</v>
      </c>
      <c r="F13">
        <v>109945</v>
      </c>
      <c r="G13"/>
    </row>
    <row r="14" spans="1:17" x14ac:dyDescent="0.25">
      <c r="A14">
        <v>772</v>
      </c>
      <c r="B14" t="s">
        <v>41</v>
      </c>
      <c r="C14">
        <v>254472</v>
      </c>
      <c r="D14">
        <v>355163</v>
      </c>
      <c r="E14">
        <v>541127</v>
      </c>
      <c r="F14">
        <v>297015</v>
      </c>
      <c r="G14"/>
    </row>
    <row r="15" spans="1:17" x14ac:dyDescent="0.25">
      <c r="B15" t="s">
        <v>9</v>
      </c>
      <c r="C15" s="2"/>
      <c r="G15"/>
    </row>
    <row r="16" spans="1:17" x14ac:dyDescent="0.25">
      <c r="B16" t="s">
        <v>9</v>
      </c>
      <c r="C16" s="2"/>
      <c r="G16"/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18DAC-9096-4618-92A7-C43A2EB004BC}">
  <sheetPr codeName="Sheet19">
    <pageSetUpPr autoPageBreaks="0"/>
  </sheetPr>
  <dimension ref="A1:Q20"/>
  <sheetViews>
    <sheetView zoomScaleNormal="100" workbookViewId="0">
      <selection activeCell="B4" sqref="A3:F18"/>
    </sheetView>
  </sheetViews>
  <sheetFormatPr defaultColWidth="12.5703125" defaultRowHeight="15.75" customHeight="1" x14ac:dyDescent="0.25"/>
  <cols>
    <col min="1" max="1" width="16.7109375" customWidth="1"/>
    <col min="2" max="2" width="62.140625" bestFit="1" customWidth="1"/>
    <col min="3" max="4" width="22.42578125" style="2" bestFit="1" customWidth="1"/>
    <col min="5" max="6" width="11.5703125" style="2" bestFit="1" customWidth="1"/>
    <col min="7" max="7" width="12.42578125" bestFit="1" customWidth="1"/>
  </cols>
  <sheetData>
    <row r="1" spans="1:17" ht="15" x14ac:dyDescent="0.25">
      <c r="B1" t="s">
        <v>49</v>
      </c>
    </row>
    <row r="2" spans="1:17" ht="15" x14ac:dyDescent="0.25">
      <c r="A2" t="s">
        <v>246</v>
      </c>
      <c r="B2" t="s">
        <v>201</v>
      </c>
      <c r="C2" t="s">
        <v>202</v>
      </c>
      <c r="D2" t="s">
        <v>203</v>
      </c>
      <c r="E2" t="s">
        <v>169</v>
      </c>
      <c r="F2" t="s">
        <v>173</v>
      </c>
      <c r="G2" t="s">
        <v>9</v>
      </c>
      <c r="H2" t="s">
        <v>9</v>
      </c>
      <c r="I2" t="s">
        <v>9</v>
      </c>
      <c r="J2" t="s">
        <v>9</v>
      </c>
      <c r="K2" t="s">
        <v>9</v>
      </c>
      <c r="L2" t="s">
        <v>9</v>
      </c>
      <c r="M2" t="s">
        <v>9</v>
      </c>
      <c r="N2" t="s">
        <v>9</v>
      </c>
      <c r="O2" t="s">
        <v>9</v>
      </c>
      <c r="P2" t="s">
        <v>9</v>
      </c>
      <c r="Q2" t="s">
        <v>9</v>
      </c>
    </row>
    <row r="3" spans="1:17" ht="15" x14ac:dyDescent="0.25">
      <c r="A3">
        <v>121</v>
      </c>
      <c r="B3" t="s">
        <v>52</v>
      </c>
      <c r="C3">
        <v>5775607</v>
      </c>
      <c r="D3">
        <v>7612399</v>
      </c>
      <c r="E3">
        <v>16804593</v>
      </c>
      <c r="F3">
        <v>7612399</v>
      </c>
    </row>
    <row r="4" spans="1:17" ht="15" x14ac:dyDescent="0.25">
      <c r="A4">
        <v>122</v>
      </c>
      <c r="B4" t="s">
        <v>75</v>
      </c>
      <c r="C4">
        <v>4224549</v>
      </c>
      <c r="D4">
        <v>4949013</v>
      </c>
      <c r="E4">
        <v>2395875</v>
      </c>
      <c r="F4">
        <v>4949013</v>
      </c>
    </row>
    <row r="5" spans="1:17" ht="15" x14ac:dyDescent="0.25">
      <c r="A5">
        <v>123</v>
      </c>
      <c r="B5" t="s">
        <v>170</v>
      </c>
      <c r="C5">
        <v>5304885</v>
      </c>
      <c r="D5">
        <v>3016532</v>
      </c>
      <c r="E5">
        <v>27503550</v>
      </c>
      <c r="F5">
        <v>3016532</v>
      </c>
    </row>
    <row r="6" spans="1:17" ht="15" x14ac:dyDescent="0.25">
      <c r="A6">
        <v>124</v>
      </c>
      <c r="B6" t="s">
        <v>50</v>
      </c>
      <c r="C6">
        <v>111820382</v>
      </c>
      <c r="D6">
        <v>125801443</v>
      </c>
      <c r="E6">
        <v>110986034</v>
      </c>
      <c r="F6">
        <v>125801443</v>
      </c>
    </row>
    <row r="7" spans="1:17" ht="15" x14ac:dyDescent="0.25">
      <c r="A7">
        <v>125</v>
      </c>
      <c r="B7" t="s">
        <v>129</v>
      </c>
      <c r="C7">
        <v>9258141</v>
      </c>
      <c r="D7">
        <v>10406487</v>
      </c>
      <c r="E7">
        <v>22928087</v>
      </c>
      <c r="F7">
        <v>10406487</v>
      </c>
    </row>
    <row r="8" spans="1:17" ht="15" x14ac:dyDescent="0.25">
      <c r="A8">
        <v>126</v>
      </c>
      <c r="B8" t="s">
        <v>53</v>
      </c>
      <c r="C8">
        <v>25334497</v>
      </c>
      <c r="D8">
        <v>29408581</v>
      </c>
      <c r="E8">
        <v>44635672</v>
      </c>
      <c r="F8">
        <v>29408581</v>
      </c>
    </row>
    <row r="9" spans="1:17" ht="15" x14ac:dyDescent="0.25">
      <c r="A9">
        <v>127</v>
      </c>
      <c r="B9" t="s">
        <v>76</v>
      </c>
      <c r="C9">
        <v>10168860</v>
      </c>
      <c r="D9">
        <v>13652849</v>
      </c>
      <c r="E9">
        <v>9506204</v>
      </c>
      <c r="F9">
        <v>13652849</v>
      </c>
    </row>
    <row r="10" spans="1:17" ht="15" x14ac:dyDescent="0.25">
      <c r="A10">
        <v>128</v>
      </c>
      <c r="B10" t="s">
        <v>77</v>
      </c>
      <c r="C10">
        <v>10363839</v>
      </c>
      <c r="D10">
        <v>9450967</v>
      </c>
      <c r="E10">
        <v>8770143</v>
      </c>
      <c r="F10">
        <v>9450967</v>
      </c>
    </row>
    <row r="11" spans="1:17" ht="15" x14ac:dyDescent="0.25">
      <c r="A11">
        <v>129</v>
      </c>
      <c r="B11" t="s">
        <v>60</v>
      </c>
      <c r="C11">
        <v>1899120</v>
      </c>
      <c r="D11">
        <v>2243500</v>
      </c>
      <c r="E11">
        <v>3620161</v>
      </c>
      <c r="F11">
        <v>2243500</v>
      </c>
    </row>
    <row r="12" spans="1:17" ht="15" x14ac:dyDescent="0.25">
      <c r="A12">
        <v>130</v>
      </c>
      <c r="B12" t="s">
        <v>171</v>
      </c>
      <c r="C12">
        <v>2546730</v>
      </c>
      <c r="D12">
        <v>10345168</v>
      </c>
      <c r="E12">
        <v>9125516</v>
      </c>
      <c r="F12">
        <v>10345168</v>
      </c>
    </row>
    <row r="13" spans="1:17" ht="15" x14ac:dyDescent="0.25">
      <c r="A13">
        <v>131</v>
      </c>
      <c r="B13" t="s">
        <v>78</v>
      </c>
      <c r="C13">
        <v>4835960</v>
      </c>
      <c r="D13">
        <v>5788754</v>
      </c>
      <c r="E13">
        <v>2586232</v>
      </c>
      <c r="F13">
        <v>5788754</v>
      </c>
    </row>
    <row r="14" spans="1:17" ht="15" x14ac:dyDescent="0.25">
      <c r="A14">
        <v>132</v>
      </c>
      <c r="B14" t="s">
        <v>131</v>
      </c>
      <c r="C14">
        <v>1238283</v>
      </c>
      <c r="D14">
        <v>2265854</v>
      </c>
      <c r="E14">
        <v>5285175</v>
      </c>
      <c r="F14">
        <v>2265854</v>
      </c>
    </row>
    <row r="15" spans="1:17" ht="15" x14ac:dyDescent="0.25">
      <c r="A15">
        <v>133</v>
      </c>
      <c r="B15" t="s">
        <v>172</v>
      </c>
      <c r="C15">
        <v>2033180</v>
      </c>
      <c r="D15">
        <v>2282024</v>
      </c>
      <c r="E15">
        <v>1741250</v>
      </c>
      <c r="F15">
        <v>2282024</v>
      </c>
    </row>
    <row r="16" spans="1:17" ht="15" x14ac:dyDescent="0.25">
      <c r="A16">
        <v>134</v>
      </c>
      <c r="B16" t="s">
        <v>132</v>
      </c>
      <c r="C16">
        <v>5304885</v>
      </c>
      <c r="D16">
        <v>550771</v>
      </c>
      <c r="E16">
        <v>1808001</v>
      </c>
      <c r="F16">
        <v>7612399</v>
      </c>
    </row>
    <row r="17" spans="1:6" ht="15" x14ac:dyDescent="0.25">
      <c r="A17">
        <v>135</v>
      </c>
      <c r="B17" t="s">
        <v>133</v>
      </c>
      <c r="C17">
        <v>5304885</v>
      </c>
      <c r="D17">
        <v>550771</v>
      </c>
      <c r="E17">
        <v>23714355</v>
      </c>
      <c r="F17">
        <v>7612399</v>
      </c>
    </row>
    <row r="18" spans="1:6" ht="15.75" customHeight="1" x14ac:dyDescent="0.25">
      <c r="A18">
        <v>136</v>
      </c>
      <c r="B18" t="s">
        <v>134</v>
      </c>
      <c r="C18">
        <v>5304885</v>
      </c>
      <c r="D18">
        <v>550771</v>
      </c>
      <c r="E18">
        <v>24814971</v>
      </c>
      <c r="F18">
        <v>7612399</v>
      </c>
    </row>
    <row r="20" spans="1:6" ht="15.75" customHeight="1" x14ac:dyDescent="0.25">
      <c r="B20" t="s">
        <v>176</v>
      </c>
      <c r="C20" s="2">
        <v>5304885</v>
      </c>
      <c r="D20" s="2">
        <v>550770.5</v>
      </c>
      <c r="E20" s="2">
        <v>9315860</v>
      </c>
      <c r="F20" s="2">
        <v>7612399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24117-671A-43FA-89C9-2B6127D0F9BF}">
  <sheetPr codeName="Sheet20"/>
  <dimension ref="A1:P18"/>
  <sheetViews>
    <sheetView workbookViewId="0">
      <selection activeCell="B19" sqref="B19"/>
    </sheetView>
  </sheetViews>
  <sheetFormatPr defaultRowHeight="15" x14ac:dyDescent="0.25"/>
  <cols>
    <col min="1" max="1" width="27.42578125" customWidth="1"/>
    <col min="2" max="2" width="76" bestFit="1" customWidth="1"/>
    <col min="3" max="3" width="20" customWidth="1"/>
    <col min="4" max="4" width="7.85546875" bestFit="1" customWidth="1"/>
  </cols>
  <sheetData>
    <row r="1" spans="1:16" x14ac:dyDescent="0.25">
      <c r="B1" t="s">
        <v>44</v>
      </c>
    </row>
    <row r="2" spans="1:16" x14ac:dyDescent="0.25">
      <c r="A2" t="s">
        <v>245</v>
      </c>
      <c r="B2" t="s">
        <v>193</v>
      </c>
      <c r="C2" t="s">
        <v>194</v>
      </c>
      <c r="D2" t="s">
        <v>9</v>
      </c>
      <c r="E2" t="s">
        <v>9</v>
      </c>
      <c r="F2" t="s">
        <v>9</v>
      </c>
      <c r="G2" t="s">
        <v>9</v>
      </c>
      <c r="H2" t="s">
        <v>9</v>
      </c>
      <c r="I2" t="s">
        <v>9</v>
      </c>
      <c r="J2" t="s">
        <v>9</v>
      </c>
      <c r="K2" t="s">
        <v>9</v>
      </c>
      <c r="L2" t="s">
        <v>9</v>
      </c>
      <c r="M2" t="s">
        <v>9</v>
      </c>
      <c r="N2" t="s">
        <v>9</v>
      </c>
      <c r="O2" t="s">
        <v>9</v>
      </c>
      <c r="P2" t="s">
        <v>9</v>
      </c>
    </row>
    <row r="3" spans="1:16" x14ac:dyDescent="0.25">
      <c r="A3">
        <v>721</v>
      </c>
      <c r="B3" t="s">
        <v>10</v>
      </c>
      <c r="C3">
        <v>9584976</v>
      </c>
    </row>
    <row r="4" spans="1:16" x14ac:dyDescent="0.25">
      <c r="A4">
        <v>722</v>
      </c>
      <c r="B4" t="s">
        <v>11</v>
      </c>
      <c r="C4">
        <v>1486334</v>
      </c>
    </row>
    <row r="5" spans="1:16" x14ac:dyDescent="0.25">
      <c r="A5">
        <v>723</v>
      </c>
      <c r="B5" t="s">
        <v>12</v>
      </c>
      <c r="C5">
        <v>8721153</v>
      </c>
    </row>
    <row r="6" spans="1:16" x14ac:dyDescent="0.25">
      <c r="A6">
        <v>724</v>
      </c>
      <c r="B6" t="s">
        <v>13</v>
      </c>
      <c r="C6">
        <v>3038119</v>
      </c>
    </row>
    <row r="7" spans="1:16" x14ac:dyDescent="0.25">
      <c r="A7">
        <v>725</v>
      </c>
      <c r="B7" t="s">
        <v>129</v>
      </c>
      <c r="C7">
        <v>362742</v>
      </c>
    </row>
    <row r="8" spans="1:16" x14ac:dyDescent="0.25">
      <c r="A8">
        <v>726</v>
      </c>
      <c r="B8" t="s">
        <v>14</v>
      </c>
      <c r="C8">
        <v>12430208</v>
      </c>
    </row>
    <row r="9" spans="1:16" x14ac:dyDescent="0.25">
      <c r="A9">
        <v>727</v>
      </c>
      <c r="B9" t="s">
        <v>28</v>
      </c>
      <c r="C9">
        <v>2234102</v>
      </c>
    </row>
    <row r="10" spans="1:16" x14ac:dyDescent="0.25">
      <c r="A10">
        <v>728</v>
      </c>
      <c r="B10" t="s">
        <v>45</v>
      </c>
      <c r="C10">
        <v>1526270</v>
      </c>
    </row>
    <row r="11" spans="1:16" x14ac:dyDescent="0.25">
      <c r="A11">
        <v>729</v>
      </c>
      <c r="B11" t="s">
        <v>46</v>
      </c>
      <c r="C11">
        <v>61261</v>
      </c>
    </row>
    <row r="12" spans="1:16" x14ac:dyDescent="0.25">
      <c r="A12">
        <v>730</v>
      </c>
      <c r="B12" t="s">
        <v>47</v>
      </c>
      <c r="C12">
        <v>834246</v>
      </c>
    </row>
    <row r="13" spans="1:16" x14ac:dyDescent="0.25">
      <c r="B13" t="s">
        <v>9</v>
      </c>
    </row>
    <row r="14" spans="1:16" x14ac:dyDescent="0.25">
      <c r="B14" t="s">
        <v>9</v>
      </c>
    </row>
    <row r="15" spans="1:16" x14ac:dyDescent="0.25">
      <c r="B15" t="s">
        <v>9</v>
      </c>
    </row>
    <row r="16" spans="1:16" x14ac:dyDescent="0.25">
      <c r="B16" t="s">
        <v>9</v>
      </c>
    </row>
    <row r="17" spans="2:2" x14ac:dyDescent="0.25">
      <c r="B17" t="s">
        <v>9</v>
      </c>
    </row>
    <row r="18" spans="2:2" x14ac:dyDescent="0.25">
      <c r="B18" t="s">
        <v>9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2624C-B5A7-4EDB-B0AB-FB38F85D55B2}">
  <sheetPr codeName="Sheet21"/>
  <dimension ref="A1:N20"/>
  <sheetViews>
    <sheetView workbookViewId="0">
      <selection activeCell="C15" sqref="A3:G18"/>
    </sheetView>
  </sheetViews>
  <sheetFormatPr defaultRowHeight="15" x14ac:dyDescent="0.25"/>
  <cols>
    <col min="1" max="1" width="15.28515625" customWidth="1"/>
    <col min="2" max="2" width="27.42578125" customWidth="1"/>
    <col min="3" max="3" width="67.28515625" bestFit="1" customWidth="1"/>
    <col min="4" max="4" width="13.140625" customWidth="1"/>
    <col min="5" max="5" width="15.140625" style="2" customWidth="1"/>
    <col min="6" max="6" width="13.140625" style="2" customWidth="1"/>
    <col min="7" max="7" width="15.140625" style="2" customWidth="1"/>
    <col min="8" max="8" width="9.5703125" style="3" bestFit="1" customWidth="1"/>
  </cols>
  <sheetData>
    <row r="1" spans="1:14" x14ac:dyDescent="0.25">
      <c r="C1" t="s">
        <v>67</v>
      </c>
    </row>
    <row r="2" spans="1:14" x14ac:dyDescent="0.25">
      <c r="A2" t="s">
        <v>236</v>
      </c>
      <c r="B2" t="s">
        <v>245</v>
      </c>
      <c r="C2" t="s">
        <v>200</v>
      </c>
      <c r="D2" t="s">
        <v>4</v>
      </c>
      <c r="E2" t="s">
        <v>5</v>
      </c>
      <c r="F2" t="s">
        <v>6</v>
      </c>
      <c r="G2" t="s">
        <v>7</v>
      </c>
      <c r="H2" t="s">
        <v>9</v>
      </c>
      <c r="I2" t="s">
        <v>9</v>
      </c>
      <c r="J2" t="s">
        <v>9</v>
      </c>
      <c r="K2" t="s">
        <v>9</v>
      </c>
      <c r="L2" t="s">
        <v>9</v>
      </c>
      <c r="M2" t="s">
        <v>9</v>
      </c>
      <c r="N2" t="s">
        <v>9</v>
      </c>
    </row>
    <row r="3" spans="1:14" x14ac:dyDescent="0.25">
      <c r="A3">
        <v>401</v>
      </c>
      <c r="B3">
        <v>721</v>
      </c>
      <c r="C3" t="s">
        <v>52</v>
      </c>
      <c r="D3">
        <v>11550</v>
      </c>
      <c r="E3">
        <v>1042</v>
      </c>
      <c r="F3">
        <v>8089</v>
      </c>
      <c r="G3">
        <v>688</v>
      </c>
      <c r="H3"/>
    </row>
    <row r="4" spans="1:14" x14ac:dyDescent="0.25">
      <c r="A4">
        <v>402</v>
      </c>
      <c r="B4">
        <v>722</v>
      </c>
      <c r="C4" t="s">
        <v>174</v>
      </c>
      <c r="D4">
        <v>112</v>
      </c>
      <c r="E4">
        <v>12</v>
      </c>
      <c r="F4">
        <v>174</v>
      </c>
      <c r="G4">
        <v>30</v>
      </c>
      <c r="H4"/>
    </row>
    <row r="5" spans="1:14" x14ac:dyDescent="0.25">
      <c r="A5">
        <v>403</v>
      </c>
      <c r="B5">
        <v>723</v>
      </c>
      <c r="C5" t="s">
        <v>170</v>
      </c>
      <c r="D5">
        <v>3161</v>
      </c>
      <c r="E5">
        <v>787</v>
      </c>
      <c r="F5">
        <v>4075</v>
      </c>
      <c r="G5">
        <v>1108</v>
      </c>
      <c r="H5"/>
    </row>
    <row r="6" spans="1:14" x14ac:dyDescent="0.25">
      <c r="A6">
        <v>404</v>
      </c>
      <c r="B6">
        <v>724</v>
      </c>
      <c r="C6" t="s">
        <v>50</v>
      </c>
      <c r="D6">
        <v>256</v>
      </c>
      <c r="E6">
        <v>30</v>
      </c>
      <c r="F6">
        <v>1165</v>
      </c>
      <c r="G6">
        <v>87</v>
      </c>
      <c r="H6"/>
    </row>
    <row r="7" spans="1:14" x14ac:dyDescent="0.25">
      <c r="A7">
        <v>405</v>
      </c>
      <c r="B7">
        <v>725</v>
      </c>
      <c r="C7" t="s">
        <v>129</v>
      </c>
      <c r="D7">
        <v>6669</v>
      </c>
      <c r="E7">
        <v>1529</v>
      </c>
      <c r="F7">
        <v>9664</v>
      </c>
      <c r="G7">
        <v>1261</v>
      </c>
      <c r="H7"/>
    </row>
    <row r="8" spans="1:14" x14ac:dyDescent="0.25">
      <c r="A8">
        <v>406</v>
      </c>
      <c r="B8">
        <v>726</v>
      </c>
      <c r="C8" t="s">
        <v>53</v>
      </c>
      <c r="D8">
        <v>282</v>
      </c>
      <c r="E8">
        <v>17</v>
      </c>
      <c r="F8">
        <v>209</v>
      </c>
      <c r="G8">
        <v>0</v>
      </c>
      <c r="H8"/>
    </row>
    <row r="9" spans="1:14" x14ac:dyDescent="0.25">
      <c r="A9">
        <v>407</v>
      </c>
      <c r="B9">
        <v>727</v>
      </c>
      <c r="C9" t="s">
        <v>76</v>
      </c>
      <c r="D9">
        <v>500</v>
      </c>
      <c r="E9">
        <v>44</v>
      </c>
      <c r="F9">
        <v>460</v>
      </c>
      <c r="G9">
        <v>0</v>
      </c>
      <c r="H9"/>
    </row>
    <row r="10" spans="1:14" x14ac:dyDescent="0.25">
      <c r="A10">
        <v>408</v>
      </c>
      <c r="B10">
        <v>728</v>
      </c>
      <c r="C10" t="s">
        <v>77</v>
      </c>
      <c r="D10">
        <v>390</v>
      </c>
      <c r="E10">
        <v>49</v>
      </c>
      <c r="F10">
        <v>280</v>
      </c>
      <c r="G10">
        <v>34</v>
      </c>
      <c r="H10"/>
    </row>
    <row r="11" spans="1:14" x14ac:dyDescent="0.25">
      <c r="A11">
        <v>409</v>
      </c>
      <c r="B11">
        <v>729</v>
      </c>
      <c r="C11" t="s">
        <v>60</v>
      </c>
      <c r="D11">
        <v>8689</v>
      </c>
      <c r="E11">
        <v>5884</v>
      </c>
      <c r="F11">
        <v>12409</v>
      </c>
      <c r="G11">
        <v>7811</v>
      </c>
      <c r="H11"/>
    </row>
    <row r="12" spans="1:14" x14ac:dyDescent="0.25">
      <c r="A12">
        <v>410</v>
      </c>
      <c r="B12">
        <v>730</v>
      </c>
      <c r="C12" t="s">
        <v>130</v>
      </c>
      <c r="D12">
        <v>631</v>
      </c>
      <c r="E12">
        <v>109</v>
      </c>
      <c r="F12">
        <v>2049</v>
      </c>
      <c r="G12">
        <v>440</v>
      </c>
      <c r="H12"/>
    </row>
    <row r="13" spans="1:14" x14ac:dyDescent="0.25">
      <c r="A13">
        <v>411</v>
      </c>
      <c r="B13">
        <v>731</v>
      </c>
      <c r="C13" t="s">
        <v>78</v>
      </c>
      <c r="D13">
        <v>142</v>
      </c>
      <c r="E13">
        <v>13</v>
      </c>
      <c r="F13">
        <v>200</v>
      </c>
      <c r="G13">
        <v>23</v>
      </c>
      <c r="H13"/>
    </row>
    <row r="14" spans="1:14" x14ac:dyDescent="0.25">
      <c r="A14">
        <v>412</v>
      </c>
      <c r="B14">
        <v>732</v>
      </c>
      <c r="C14" t="s">
        <v>175</v>
      </c>
      <c r="D14">
        <v>984</v>
      </c>
      <c r="E14">
        <v>494</v>
      </c>
      <c r="F14">
        <v>2204</v>
      </c>
      <c r="G14">
        <v>592</v>
      </c>
      <c r="H14"/>
    </row>
    <row r="15" spans="1:14" x14ac:dyDescent="0.25">
      <c r="A15">
        <v>413</v>
      </c>
      <c r="B15">
        <v>733</v>
      </c>
      <c r="C15" t="s">
        <v>258</v>
      </c>
      <c r="D15">
        <v>6</v>
      </c>
      <c r="E15">
        <v>0</v>
      </c>
      <c r="F15">
        <v>21</v>
      </c>
      <c r="G15">
        <v>1</v>
      </c>
      <c r="H15"/>
    </row>
    <row r="16" spans="1:14" x14ac:dyDescent="0.25">
      <c r="A16">
        <v>414</v>
      </c>
      <c r="B16">
        <v>734</v>
      </c>
      <c r="C16" t="s">
        <v>132</v>
      </c>
      <c r="D16">
        <v>786</v>
      </c>
      <c r="E16">
        <v>0</v>
      </c>
      <c r="F16">
        <v>1165</v>
      </c>
      <c r="G16">
        <v>87</v>
      </c>
      <c r="H16"/>
    </row>
    <row r="17" spans="1:8" x14ac:dyDescent="0.25">
      <c r="A17">
        <v>415</v>
      </c>
      <c r="B17">
        <v>735</v>
      </c>
      <c r="C17" t="s">
        <v>133</v>
      </c>
      <c r="D17">
        <v>2937</v>
      </c>
      <c r="E17">
        <v>394</v>
      </c>
      <c r="F17">
        <v>1165</v>
      </c>
      <c r="G17">
        <v>87</v>
      </c>
      <c r="H17"/>
    </row>
    <row r="18" spans="1:8" x14ac:dyDescent="0.25">
      <c r="A18">
        <v>416</v>
      </c>
      <c r="B18">
        <v>736</v>
      </c>
      <c r="C18" t="s">
        <v>134</v>
      </c>
      <c r="D18">
        <v>330</v>
      </c>
      <c r="E18">
        <v>158</v>
      </c>
      <c r="F18">
        <v>1165</v>
      </c>
      <c r="G18">
        <v>87</v>
      </c>
      <c r="H18"/>
    </row>
    <row r="20" spans="1:8" x14ac:dyDescent="0.25">
      <c r="C20" t="s">
        <v>176</v>
      </c>
      <c r="D20" s="2">
        <v>565.5</v>
      </c>
      <c r="E20" s="2">
        <v>550770.5</v>
      </c>
      <c r="F20" s="2">
        <v>1165</v>
      </c>
      <c r="G20" s="2">
        <v>87</v>
      </c>
      <c r="H20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msme</vt:lpstr>
      <vt:lpstr>msme state</vt:lpstr>
      <vt:lpstr>outlier</vt:lpstr>
      <vt:lpstr>msme sector</vt:lpstr>
      <vt:lpstr>employee state</vt:lpstr>
      <vt:lpstr>employment sector</vt:lpstr>
      <vt:lpstr>employee qualification</vt:lpstr>
      <vt:lpstr>experience</vt:lpstr>
      <vt:lpstr>skill gap</vt:lpstr>
      <vt:lpstr>promomotion</vt:lpstr>
      <vt:lpstr>market channel</vt:lpstr>
      <vt:lpstr>e commerce</vt:lpstr>
      <vt:lpstr>average customers</vt:lpstr>
      <vt:lpstr>performance</vt:lpstr>
      <vt:lpstr>major challenges</vt:lpstr>
      <vt:lpstr>smedan aware</vt:lpstr>
      <vt:lpstr>smedan aware state</vt:lpstr>
      <vt:lpstr>monthly sales</vt:lpstr>
      <vt:lpstr>sales sector</vt:lpstr>
      <vt:lpstr>owner qualifications</vt:lpstr>
      <vt:lpstr>ownership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2024-04-19T12:46:37Z</dcterms:created>
  <dcterms:modified xsi:type="dcterms:W3CDTF">2024-04-22T12:20:57Z</dcterms:modified>
</cp:coreProperties>
</file>